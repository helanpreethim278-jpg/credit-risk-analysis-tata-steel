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e57e6e14e52454/Documents/GitHub/credit-risk-analysis-tata-steel/"/>
    </mc:Choice>
  </mc:AlternateContent>
  <xr:revisionPtr revIDLastSave="749" documentId="8_{13047485-A380-4C17-9C17-2CBABEED5538}" xr6:coauthVersionLast="47" xr6:coauthVersionMax="47" xr10:uidLastSave="{A16CA053-831B-497D-9491-3108C5F07157}"/>
  <bookViews>
    <workbookView xWindow="-108" yWindow="-108" windowWidth="23256" windowHeight="12456" xr2:uid="{F31EEC50-2DF9-41FD-8E7B-28670682E1B2}"/>
  </bookViews>
  <sheets>
    <sheet name="COVER" sheetId="2" r:id="rId1"/>
    <sheet name="INPUTS" sheetId="3" r:id="rId2"/>
    <sheet name="RATIOS" sheetId="4" r:id="rId3"/>
    <sheet name="ZSCORE" sheetId="5" r:id="rId4"/>
    <sheet name="STRESS_TEST" sheetId="6" r:id="rId5"/>
    <sheet name="PEER_COMP" sheetId="7" r:id="rId6"/>
    <sheet name="DASHBOARD" sheetId="1" r:id="rId7"/>
    <sheet name="Sheet8" sheetId="8" state="hidden" r:id="rId8"/>
  </sheets>
  <externalReferences>
    <externalReference r:id="rId9"/>
  </externalReferences>
  <definedNames>
    <definedName name="add">DASHBOARD!$D$5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D16" i="2"/>
  <c r="D15" i="2"/>
  <c r="D14" i="2"/>
  <c r="D13" i="2"/>
  <c r="A11" i="2"/>
  <c r="B12" i="1"/>
  <c r="B13" i="1"/>
  <c r="B14" i="1"/>
  <c r="B15" i="1"/>
  <c r="B16" i="1"/>
  <c r="E8" i="1"/>
  <c r="C9" i="4"/>
  <c r="G14" i="1"/>
  <c r="G13" i="1"/>
  <c r="G15" i="1"/>
  <c r="G12" i="1"/>
  <c r="H14" i="1"/>
  <c r="H13" i="1"/>
  <c r="H12" i="1"/>
  <c r="D12" i="1"/>
  <c r="D13" i="1"/>
  <c r="D15" i="1"/>
  <c r="D16" i="1"/>
  <c r="B5" i="1"/>
  <c r="G7" i="7"/>
  <c r="H7" i="7" s="1"/>
  <c r="G6" i="7"/>
  <c r="G5" i="7"/>
  <c r="G4" i="7"/>
  <c r="G3" i="7"/>
  <c r="I3" i="7" s="1"/>
  <c r="D10" i="6"/>
  <c r="C10" i="6"/>
  <c r="B10" i="6"/>
  <c r="D9" i="6"/>
  <c r="C9" i="6"/>
  <c r="B9" i="6"/>
  <c r="D8" i="6"/>
  <c r="C8" i="6"/>
  <c r="B8" i="6"/>
  <c r="B5" i="5"/>
  <c r="B9" i="5" s="1"/>
  <c r="G13" i="4"/>
  <c r="F13" i="4"/>
  <c r="C13" i="4"/>
  <c r="G5" i="4"/>
  <c r="G11" i="4"/>
  <c r="F11" i="4"/>
  <c r="C11" i="4"/>
  <c r="G9" i="4"/>
  <c r="D14" i="1" s="1"/>
  <c r="F9" i="4"/>
  <c r="G7" i="4"/>
  <c r="F5" i="4"/>
  <c r="F7" i="4"/>
  <c r="C7" i="4"/>
  <c r="C5" i="4"/>
  <c r="B4" i="3"/>
  <c r="H8" i="1" s="1"/>
  <c r="B13" i="5" l="1"/>
  <c r="G5" i="1" s="1"/>
  <c r="B11" i="5"/>
  <c r="D5" i="1" s="1"/>
  <c r="B8" i="1"/>
  <c r="B7" i="5"/>
  <c r="B6" i="1" s="1"/>
  <c r="I5" i="7"/>
  <c r="I6" i="7"/>
  <c r="I4" i="7"/>
  <c r="I7" i="7"/>
  <c r="H3" i="7"/>
  <c r="H4" i="7"/>
  <c r="H5" i="7"/>
  <c r="H6" i="7"/>
  <c r="D11" i="6"/>
  <c r="J6" i="6" s="1"/>
  <c r="B11" i="6"/>
  <c r="C11" i="6"/>
  <c r="I6" i="6" s="1"/>
  <c r="H6" i="6" l="1"/>
  <c r="D12" i="6"/>
  <c r="C12" i="6"/>
  <c r="B12" i="6"/>
</calcChain>
</file>

<file path=xl/sharedStrings.xml><?xml version="1.0" encoding="utf-8"?>
<sst xmlns="http://schemas.openxmlformats.org/spreadsheetml/2006/main" count="194" uniqueCount="165">
  <si>
    <t>Balance Sheet</t>
  </si>
  <si>
    <t>Consolidated Figures in Rs. Crores / View Standalone</t>
  </si>
  <si>
    <t>Corporate actions</t>
  </si>
  <si>
    <t>Equity Capital</t>
  </si>
  <si>
    <t>Reserves</t>
  </si>
  <si>
    <r>
      <t>Borrowings </t>
    </r>
    <r>
      <rPr>
        <sz val="11"/>
        <color rgb="FF665EFD"/>
        <rFont val="Arial"/>
        <family val="2"/>
      </rPr>
      <t>+</t>
    </r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</si>
  <si>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</si>
  <si>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</si>
  <si>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</si>
  <si>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</si>
  <si>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</si>
  <si>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</si>
  <si>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+</t>
    </r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</si>
  <si>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</si>
  <si>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</si>
  <si>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</si>
  <si>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</si>
  <si>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>Trade receivables </t>
    </r>
    <r>
      <rPr>
        <sz val="11"/>
        <color rgb="FF665EFD"/>
        <rFont val="Arial"/>
        <family val="2"/>
      </rPr>
      <t>+</t>
    </r>
  </si>
  <si>
    <t>Cash Equivalents</t>
  </si>
  <si>
    <t>Loans n Advances</t>
  </si>
  <si>
    <t>Other asset items</t>
  </si>
  <si>
    <t>Total Assets</t>
  </si>
  <si>
    <t>Profit &amp; Loss</t>
  </si>
  <si>
    <t> Related Party Product Segments</t>
  </si>
  <si>
    <r>
      <t>Expenses </t>
    </r>
    <r>
      <rPr>
        <sz val="11"/>
        <color rgb="FF665EFD"/>
        <rFont val="Arial"/>
        <family val="2"/>
      </rPr>
      <t>+</t>
    </r>
  </si>
  <si>
    <t>Operating Profit</t>
  </si>
  <si>
    <t>OPM %</t>
  </si>
  <si>
    <r>
      <t>Other Income </t>
    </r>
    <r>
      <rPr>
        <sz val="11"/>
        <color rgb="FF665EFD"/>
        <rFont val="Arial"/>
        <family val="2"/>
      </rPr>
      <t>+</t>
    </r>
  </si>
  <si>
    <t>Interest</t>
  </si>
  <si>
    <t>Depreciation</t>
  </si>
  <si>
    <t>Profit before tax</t>
  </si>
  <si>
    <t>Tax %</t>
  </si>
  <si>
    <r>
      <t>Net Profit </t>
    </r>
    <r>
      <rPr>
        <sz val="11"/>
        <color rgb="FF665EFD"/>
        <rFont val="Arial"/>
        <family val="2"/>
      </rPr>
      <t>+</t>
    </r>
  </si>
  <si>
    <t>EPS in Rs</t>
  </si>
  <si>
    <t>Dividend Payout %</t>
  </si>
  <si>
    <r>
      <t>Sales </t>
    </r>
    <r>
      <rPr>
        <b/>
        <sz val="11"/>
        <color rgb="FF665EFD"/>
        <rFont val="Arial"/>
        <family val="2"/>
      </rPr>
      <t>+</t>
    </r>
  </si>
  <si>
    <t>COMPANY FINANCIAL INPUTS</t>
  </si>
  <si>
    <t>Company Name</t>
  </si>
  <si>
    <t>Ticker Symbol</t>
  </si>
  <si>
    <t>Analysis Date</t>
  </si>
  <si>
    <t>Currency Unit</t>
  </si>
  <si>
    <t>Crores INR</t>
  </si>
  <si>
    <t>Fiscal Year End</t>
  </si>
  <si>
    <t>── BALANCE SHEET ──</t>
  </si>
  <si>
    <t>──────────</t>
  </si>
  <si>
    <t>Total Current Assets</t>
  </si>
  <si>
    <t>Total Current Liabilities</t>
  </si>
  <si>
    <t>Retained Earnings (Reserves)</t>
  </si>
  <si>
    <t>── PROFIT &amp; LOSS ──</t>
  </si>
  <si>
    <t>Revenue (Net Sales)</t>
  </si>
  <si>
    <t>EBIT (Operating Profit)</t>
  </si>
  <si>
    <t>── MARKET DATA ──</t>
  </si>
  <si>
    <t>Market Capitalisation</t>
  </si>
  <si>
    <t>Tata Steel Limited</t>
  </si>
  <si>
    <t>TATASTEEL</t>
  </si>
  <si>
    <t>Type manually</t>
  </si>
  <si>
    <t>NSE ticker symbol</t>
  </si>
  <si>
    <t>Automatic — today's date</t>
  </si>
  <si>
    <t>Balance Sheet → Current Assets</t>
  </si>
  <si>
    <t>Balance Sheet → Current Liabilities</t>
  </si>
  <si>
    <t>Balance Sheet → Total Assets</t>
  </si>
  <si>
    <t>Balance Sheet → Total Liabilities</t>
  </si>
  <si>
    <t>Balance Sheet → Reserves &amp; Surplus</t>
  </si>
  <si>
    <t>P&amp;L → Net Sales / Revenue</t>
  </si>
  <si>
    <t>P&amp;L → EBIT or Operating Profit</t>
  </si>
  <si>
    <t>Top of screener.in company page</t>
  </si>
  <si>
    <t>ALTMAN Z-SCORE COMPONENT RATIOS</t>
  </si>
  <si>
    <t xml:space="preserve">Ratio Name </t>
  </si>
  <si>
    <t xml:space="preserve">Formula Description </t>
  </si>
  <si>
    <t>Value</t>
  </si>
  <si>
    <t>Calculation</t>
  </si>
  <si>
    <t>Weight</t>
  </si>
  <si>
    <t>Weighted Score</t>
  </si>
  <si>
    <t>Interpretation</t>
  </si>
  <si>
    <t>Working Capital / Total Assets</t>
  </si>
  <si>
    <t>Ratio 2 — X2</t>
  </si>
  <si>
    <t>Ratio 1 — X1</t>
  </si>
  <si>
    <t>Retained Earnings / Total Assets</t>
  </si>
  <si>
    <t>Ratio 3 — X3</t>
  </si>
  <si>
    <t>EBIT / Total Assets</t>
  </si>
  <si>
    <t>Ratio 4 — X4</t>
  </si>
  <si>
    <t>Market Cap / Book Value of Total Liabilities</t>
  </si>
  <si>
    <t>Ratio 5 — X5</t>
  </si>
  <si>
    <t>Revenue / Total Assets (Asset Turnover)</t>
  </si>
  <si>
    <t>ALTMAN Z-SCORE — FINAL OUTPUT</t>
  </si>
  <si>
    <t>Z-Score Calculation</t>
  </si>
  <si>
    <t>Credit Zone</t>
  </si>
  <si>
    <t>Credit Grade (0-10 Scale)</t>
  </si>
  <si>
    <t>Implied Credit Rating</t>
  </si>
  <si>
    <t>Investment Recommendation</t>
  </si>
  <si>
    <t>STRESS TEST — SCENARIO ANALYSIS</t>
  </si>
  <si>
    <t xml:space="preserve">BASE CASE </t>
  </si>
  <si>
    <t xml:space="preserve">MILD RECESSION </t>
  </si>
  <si>
    <t>SEVERE RECESSION</t>
  </si>
  <si>
    <t>Revenue Shock %</t>
  </si>
  <si>
    <t>EBIT Margin Shock %</t>
  </si>
  <si>
    <t>Working Capital Shock %</t>
  </si>
  <si>
    <t>Stressed Revenue</t>
  </si>
  <si>
    <t>Stressed EBIT</t>
  </si>
  <si>
    <t>Stressed Working Capital</t>
  </si>
  <si>
    <t>Stressed Z-Score</t>
  </si>
  <si>
    <t>Scenario</t>
  </si>
  <si>
    <t>Base</t>
  </si>
  <si>
    <t>Mild</t>
  </si>
  <si>
    <t>Distress Line</t>
  </si>
  <si>
    <t>Safe Line</t>
  </si>
  <si>
    <t>Severe</t>
  </si>
  <si>
    <t>Z Score</t>
  </si>
  <si>
    <t>PEER COMPARISON — SECTOR Z-SCORE RANKING</t>
  </si>
  <si>
    <t>Company</t>
  </si>
  <si>
    <t>Rank</t>
  </si>
  <si>
    <t>Tata Steel</t>
  </si>
  <si>
    <t>JSW Steel</t>
  </si>
  <si>
    <t>SAIL</t>
  </si>
  <si>
    <t>Jindal Steel</t>
  </si>
  <si>
    <t>NMDC Steel</t>
  </si>
  <si>
    <t>What to Look For</t>
  </si>
  <si>
    <t>Current Assets</t>
  </si>
  <si>
    <t>Current Liabilities</t>
  </si>
  <si>
    <t>Retained Earnings (Reserves &amp; Surplus)</t>
  </si>
  <si>
    <r>
      <t>3,13,996</t>
    </r>
    <r>
      <rPr>
        <b/>
        <sz val="10"/>
        <color theme="1"/>
        <rFont val="Arial"/>
        <family val="2"/>
      </rPr>
      <t> </t>
    </r>
  </si>
  <si>
    <r>
      <t>78,711</t>
    </r>
    <r>
      <rPr>
        <b/>
        <sz val="10"/>
        <color theme="1"/>
        <rFont val="Arial"/>
        <family val="2"/>
      </rPr>
      <t> </t>
    </r>
  </si>
  <si>
    <r>
      <t>1,20,503</t>
    </r>
    <r>
      <rPr>
        <b/>
        <sz val="10"/>
        <color theme="1"/>
        <rFont val="Arial"/>
        <family val="2"/>
      </rPr>
      <t> </t>
    </r>
  </si>
  <si>
    <r>
      <t>14,641</t>
    </r>
    <r>
      <rPr>
        <b/>
        <sz val="10"/>
        <color theme="1"/>
        <rFont val="Arial"/>
        <family val="2"/>
      </rPr>
      <t> </t>
    </r>
  </si>
  <si>
    <t>X1
(WC/TA)</t>
  </si>
  <si>
    <t>X2
(RE/TA)</t>
  </si>
  <si>
    <t>X3
(EBIT/TA)</t>
  </si>
  <si>
    <t>X4
(MktCap/TL)</t>
  </si>
  <si>
    <t>X5
(Rev/TA)</t>
  </si>
  <si>
    <t>Z-Score</t>
  </si>
  <si>
    <t>Credit Grade</t>
  </si>
  <si>
    <t>Tata Steel Limited demonstrates a strong credit profile with an Altman Z-Score of 4.28, firmly positioning the company within the Safe Zone and warranting an implied AAA/AA credit rating — reflecting robust asset profitability, sound retained earnings, and healthy market capitalisation relative to total liabilities. However, stress testing reveals a material vulnerability to macroeconomic deterioration; under a severe recession scenario incorporating a 30% revenue shock and 40% working capital compression, the Z-Score declines to 1.83, pushing the company into the Grey Zone and signalling elevated refinancing and liquidity risk. We maintain a BUY / HOLD recommendation under base conditions, while advising credit officers to monitor working capital trends and EBIT margins closely, as sustained cyclical pressure could erode the current investment-grade standing within two fiscal quarters.</t>
  </si>
  <si>
    <t>TATA STEEL LIMITED — CREDIT RISK DASHBOARD</t>
  </si>
  <si>
    <t>Z-SCORE</t>
  </si>
  <si>
    <t>IMPLIED RATING</t>
  </si>
  <si>
    <t>AAA/AA Rating</t>
  </si>
  <si>
    <t>RECOMMENDATION</t>
  </si>
  <si>
    <t>RATIO ANALYSIS SUMMARY</t>
  </si>
  <si>
    <t>Ratio</t>
  </si>
  <si>
    <t>X1 — Working Capital/TA</t>
  </si>
  <si>
    <t>X2 — Retained Earnings/TA</t>
  </si>
  <si>
    <t>X3 — EBIT/TA</t>
  </si>
  <si>
    <t>X4 — Market Cap/Liabilities</t>
  </si>
  <si>
    <t>X5 — Revenue/TA</t>
  </si>
  <si>
    <t>STRESS TEST SUMMARY</t>
  </si>
  <si>
    <t>Base Case</t>
  </si>
  <si>
    <t>Mild Recession</t>
  </si>
  <si>
    <t>Severe Recession</t>
  </si>
  <si>
    <t>Fiscal Year</t>
  </si>
  <si>
    <t>AI CREDIT COMMENTARY</t>
  </si>
  <si>
    <t>Data Source: Screener.in | NSE India | Analysis Date: June 2025 | Model: Altman Z-Score (1968)</t>
  </si>
  <si>
    <t>CREDIT RISK ANALYSIS</t>
  </si>
  <si>
    <t>Altman Z-Score Model  |  Indian Steel Sector  |  FY2026</t>
  </si>
  <si>
    <t>COMPANY UNDER ANALYSIS</t>
  </si>
  <si>
    <t>Currency</t>
  </si>
  <si>
    <t>Credit Model</t>
  </si>
  <si>
    <t>Altman Z-Score (1968)</t>
  </si>
  <si>
    <t>Data Source</t>
  </si>
  <si>
    <t>Screener.in | NSE India</t>
  </si>
  <si>
    <t>Analyst</t>
  </si>
  <si>
    <t>Status</t>
  </si>
  <si>
    <t>FINAL</t>
  </si>
  <si>
    <t>ALTMAN Z-SCORE RESULT</t>
  </si>
  <si>
    <t>For academic and analytical purposes only. Not investment advice.</t>
  </si>
  <si>
    <t>HELAN PREETHI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</si>
</sst>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[$-F800]dddd\,\ mmmm\ dd\,\ yyyy"/>
  </numFmts>
  <fonts count="52">
    <font>
      <sz val="11"/>
      <color theme="1"/>
      <name val="Aptos Narrow"/>
      <family val="2"/>
      <scheme val="minor"/>
    </font>
    <font>
      <sz val="10"/>
      <color rgb="FF22222F"/>
      <name val="Arial"/>
      <family val="2"/>
    </font>
    <font>
      <sz val="18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665EFD"/>
      <name val="Arial"/>
      <family val="2"/>
    </font>
    <font>
      <sz val="9"/>
      <color rgb="FF606F7B"/>
      <name val="Arial"/>
      <family val="2"/>
    </font>
    <font>
      <b/>
      <sz val="14"/>
      <color theme="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4"/>
      <color theme="0"/>
      <name val="Arial"/>
      <family val="2"/>
    </font>
    <font>
      <b/>
      <sz val="10"/>
      <color rgb="FFF0E68C"/>
      <name val="Courier New"/>
      <family val="3"/>
    </font>
    <font>
      <sz val="11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b/>
      <sz val="12"/>
      <color theme="1"/>
      <name val="Bahnschrift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22222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FF9900"/>
      <name val="Arial"/>
      <family val="2"/>
    </font>
    <font>
      <b/>
      <sz val="11"/>
      <color rgb="FFFF0000"/>
      <name val="Arial"/>
      <family val="2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22"/>
      <color theme="9" tint="0.59999389629810485"/>
      <name val="Times New Roman"/>
      <family val="1"/>
    </font>
    <font>
      <b/>
      <sz val="16"/>
      <color theme="9" tint="0.59999389629810485"/>
      <name val="Times New Roman"/>
      <family val="1"/>
    </font>
    <font>
      <b/>
      <sz val="20"/>
      <color theme="9" tint="0.59999389629810485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b/>
      <sz val="28"/>
      <color rgb="FFFFFFFF"/>
      <name val="Arial"/>
      <family val="2"/>
    </font>
    <font>
      <sz val="14"/>
      <color rgb="FFFFFFFF"/>
      <name val="Arial"/>
      <family val="2"/>
    </font>
    <font>
      <b/>
      <sz val="10"/>
      <color rgb="FF888888"/>
      <name val="Arial"/>
      <family val="2"/>
    </font>
    <font>
      <b/>
      <sz val="22"/>
      <color rgb="FF1F3864"/>
      <name val="Arial"/>
      <family val="2"/>
    </font>
    <font>
      <b/>
      <sz val="11"/>
      <color rgb="FF555555"/>
      <name val="Arial"/>
      <family val="2"/>
    </font>
    <font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3"/>
      <color rgb="FF1F3864"/>
      <name val="Arial"/>
      <family val="2"/>
    </font>
    <font>
      <i/>
      <sz val="9"/>
      <color rgb="FFAAAAAA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003366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E75B6"/>
      </patternFill>
    </fill>
    <fill>
      <patternFill patternType="solid">
        <fgColor rgb="FFC9A84C"/>
      </patternFill>
    </fill>
    <fill>
      <patternFill patternType="solid">
        <fgColor rgb="FFD6E4F0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0">
    <xf numFmtId="0" fontId="0" fillId="0" borderId="0" xfId="0"/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7" fontId="3" fillId="2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3" fontId="6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3" fontId="6" fillId="3" borderId="2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8" fillId="2" borderId="0" xfId="0" applyNumberFormat="1" applyFont="1" applyFill="1" applyAlignment="1">
      <alignment horizontal="right" vertical="center"/>
    </xf>
    <xf numFmtId="9" fontId="4" fillId="2" borderId="0" xfId="0" applyNumberFormat="1" applyFont="1" applyFill="1" applyAlignment="1">
      <alignment horizontal="right" vertical="center"/>
    </xf>
    <xf numFmtId="9" fontId="4" fillId="3" borderId="0" xfId="0" applyNumberFormat="1" applyFont="1" applyFill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horizontal="right" vertical="center"/>
    </xf>
    <xf numFmtId="0" fontId="11" fillId="4" borderId="0" xfId="0" applyFont="1" applyFill="1"/>
    <xf numFmtId="0" fontId="12" fillId="2" borderId="3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left" vertical="center" wrapText="1" indent="1"/>
    </xf>
    <xf numFmtId="0" fontId="12" fillId="5" borderId="5" xfId="0" applyFont="1" applyFill="1" applyBorder="1" applyAlignment="1">
      <alignment horizontal="left" vertical="center" wrapText="1" indent="1"/>
    </xf>
    <xf numFmtId="0" fontId="12" fillId="5" borderId="6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4" fontId="12" fillId="2" borderId="6" xfId="0" applyNumberFormat="1" applyFont="1" applyFill="1" applyBorder="1" applyAlignment="1">
      <alignment horizontal="left" vertical="center" wrapText="1" indent="1"/>
    </xf>
    <xf numFmtId="0" fontId="12" fillId="5" borderId="3" xfId="0" applyFont="1" applyFill="1" applyBorder="1" applyAlignment="1">
      <alignment horizontal="left" vertical="center" wrapText="1" indent="1"/>
    </xf>
    <xf numFmtId="0" fontId="12" fillId="5" borderId="4" xfId="0" applyFont="1" applyFill="1" applyBorder="1" applyAlignment="1">
      <alignment horizontal="left" vertical="center" wrapText="1" indent="1"/>
    </xf>
    <xf numFmtId="0" fontId="12" fillId="2" borderId="6" xfId="0" applyFont="1" applyFill="1" applyBorder="1" applyAlignment="1">
      <alignment horizontal="left" vertical="center" wrapText="1" indent="1"/>
    </xf>
    <xf numFmtId="17" fontId="12" fillId="2" borderId="6" xfId="0" applyNumberFormat="1" applyFont="1" applyFill="1" applyBorder="1" applyAlignment="1">
      <alignment horizontal="left" vertical="center" wrapText="1" indent="1"/>
    </xf>
    <xf numFmtId="3" fontId="13" fillId="5" borderId="6" xfId="0" applyNumberFormat="1" applyFont="1" applyFill="1" applyBorder="1" applyAlignment="1">
      <alignment horizontal="right" vertical="center" wrapText="1" indent="1"/>
    </xf>
    <xf numFmtId="0" fontId="4" fillId="0" borderId="0" xfId="0" applyFont="1"/>
    <xf numFmtId="0" fontId="4" fillId="0" borderId="0" xfId="0" applyFont="1" applyAlignment="1">
      <alignment vertical="center"/>
    </xf>
    <xf numFmtId="0" fontId="15" fillId="0" borderId="0" xfId="0" applyFont="1"/>
    <xf numFmtId="0" fontId="15" fillId="7" borderId="7" xfId="0" applyFont="1" applyFill="1" applyBorder="1" applyAlignment="1">
      <alignment horizontal="left" vertical="center" wrapText="1" indent="2"/>
    </xf>
    <xf numFmtId="0" fontId="16" fillId="0" borderId="0" xfId="0" applyFont="1"/>
    <xf numFmtId="0" fontId="15" fillId="0" borderId="7" xfId="0" applyFont="1" applyBorder="1" applyAlignment="1">
      <alignment horizontal="left" vertical="center" wrapText="1" indent="2"/>
    </xf>
    <xf numFmtId="0" fontId="15" fillId="8" borderId="0" xfId="0" applyFont="1" applyFill="1" applyAlignment="1">
      <alignment wrapText="1"/>
    </xf>
    <xf numFmtId="0" fontId="8" fillId="11" borderId="0" xfId="0" applyFont="1" applyFill="1"/>
    <xf numFmtId="0" fontId="8" fillId="10" borderId="0" xfId="0" applyFont="1" applyFill="1"/>
    <xf numFmtId="0" fontId="8" fillId="9" borderId="0" xfId="0" applyFont="1" applyFill="1"/>
    <xf numFmtId="0" fontId="12" fillId="2" borderId="3" xfId="0" applyFont="1" applyFill="1" applyBorder="1" applyAlignment="1">
      <alignment horizontal="left" vertical="center" indent="1"/>
    </xf>
    <xf numFmtId="0" fontId="12" fillId="5" borderId="5" xfId="0" applyFont="1" applyFill="1" applyBorder="1" applyAlignment="1">
      <alignment horizontal="left" vertical="center" indent="1"/>
    </xf>
    <xf numFmtId="0" fontId="12" fillId="2" borderId="5" xfId="0" applyFont="1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18" fillId="0" borderId="0" xfId="0" applyFont="1"/>
    <xf numFmtId="9" fontId="0" fillId="0" borderId="0" xfId="0" applyNumberFormat="1"/>
    <xf numFmtId="3" fontId="0" fillId="0" borderId="0" xfId="0" applyNumberFormat="1"/>
    <xf numFmtId="0" fontId="20" fillId="0" borderId="0" xfId="0" applyFont="1"/>
    <xf numFmtId="0" fontId="26" fillId="16" borderId="9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left" vertical="center"/>
    </xf>
    <xf numFmtId="164" fontId="27" fillId="14" borderId="9" xfId="0" applyNumberFormat="1" applyFont="1" applyFill="1" applyBorder="1" applyAlignment="1">
      <alignment horizontal="center" vertical="center"/>
    </xf>
    <xf numFmtId="165" fontId="13" fillId="14" borderId="9" xfId="0" applyNumberFormat="1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horizontal="left" vertical="center"/>
    </xf>
    <xf numFmtId="164" fontId="27" fillId="17" borderId="9" xfId="0" applyNumberFormat="1" applyFont="1" applyFill="1" applyBorder="1" applyAlignment="1">
      <alignment horizontal="center" vertical="center"/>
    </xf>
    <xf numFmtId="165" fontId="13" fillId="17" borderId="9" xfId="0" applyNumberFormat="1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horizontal="center" vertical="center"/>
    </xf>
    <xf numFmtId="0" fontId="29" fillId="12" borderId="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0" fillId="0" borderId="0" xfId="0" applyAlignment="1">
      <alignment vertical="center"/>
    </xf>
    <xf numFmtId="3" fontId="22" fillId="3" borderId="8" xfId="0" applyNumberFormat="1" applyFont="1" applyFill="1" applyBorder="1"/>
    <xf numFmtId="3" fontId="24" fillId="0" borderId="8" xfId="0" applyNumberFormat="1" applyFont="1" applyBorder="1"/>
    <xf numFmtId="3" fontId="22" fillId="2" borderId="8" xfId="0" applyNumberFormat="1" applyFont="1" applyFill="1" applyBorder="1"/>
    <xf numFmtId="3" fontId="23" fillId="5" borderId="8" xfId="0" applyNumberFormat="1" applyFont="1" applyFill="1" applyBorder="1"/>
    <xf numFmtId="0" fontId="24" fillId="0" borderId="8" xfId="0" applyFont="1" applyBorder="1"/>
    <xf numFmtId="0" fontId="10" fillId="0" borderId="0" xfId="0" applyFont="1"/>
    <xf numFmtId="0" fontId="31" fillId="6" borderId="0" xfId="0" applyFont="1" applyFill="1" applyAlignment="1">
      <alignment horizontal="center"/>
    </xf>
    <xf numFmtId="0" fontId="32" fillId="0" borderId="0" xfId="0" applyFont="1"/>
    <xf numFmtId="0" fontId="32" fillId="0" borderId="8" xfId="0" applyFont="1" applyBorder="1"/>
    <xf numFmtId="0" fontId="33" fillId="0" borderId="8" xfId="0" applyFont="1" applyBorder="1" applyAlignment="1">
      <alignment vertical="center"/>
    </xf>
    <xf numFmtId="0" fontId="34" fillId="0" borderId="8" xfId="0" applyFont="1" applyBorder="1"/>
    <xf numFmtId="0" fontId="35" fillId="0" borderId="8" xfId="0" applyFont="1" applyBorder="1" applyAlignment="1">
      <alignment wrapText="1"/>
    </xf>
    <xf numFmtId="0" fontId="36" fillId="0" borderId="8" xfId="0" applyFont="1" applyBorder="1"/>
    <xf numFmtId="0" fontId="32" fillId="0" borderId="8" xfId="0" applyFont="1" applyBorder="1" applyAlignment="1">
      <alignment horizontal="right"/>
    </xf>
    <xf numFmtId="0" fontId="37" fillId="0" borderId="8" xfId="0" applyFont="1" applyBorder="1"/>
    <xf numFmtId="0" fontId="38" fillId="0" borderId="8" xfId="0" applyFont="1" applyBorder="1"/>
    <xf numFmtId="14" fontId="32" fillId="0" borderId="8" xfId="0" applyNumberFormat="1" applyFont="1" applyBorder="1"/>
    <xf numFmtId="0" fontId="39" fillId="6" borderId="0" xfId="0" applyFont="1" applyFill="1"/>
    <xf numFmtId="0" fontId="39" fillId="9" borderId="0" xfId="0" applyFont="1" applyFill="1"/>
    <xf numFmtId="0" fontId="40" fillId="0" borderId="0" xfId="0" applyFont="1"/>
    <xf numFmtId="0" fontId="37" fillId="0" borderId="0" xfId="0" applyFont="1"/>
    <xf numFmtId="0" fontId="41" fillId="0" borderId="0" xfId="0" applyFont="1"/>
    <xf numFmtId="0" fontId="32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166" fontId="32" fillId="0" borderId="8" xfId="0" applyNumberFormat="1" applyFont="1" applyBorder="1"/>
    <xf numFmtId="17" fontId="32" fillId="0" borderId="8" xfId="0" applyNumberFormat="1" applyFont="1" applyBorder="1"/>
    <xf numFmtId="0" fontId="30" fillId="6" borderId="0" xfId="0" applyFont="1" applyFill="1" applyAlignment="1">
      <alignment horizontal="center"/>
    </xf>
    <xf numFmtId="0" fontId="36" fillId="0" borderId="8" xfId="0" applyFont="1" applyBorder="1" applyAlignment="1">
      <alignment horizontal="center" vertical="top" wrapText="1"/>
    </xf>
    <xf numFmtId="0" fontId="42" fillId="18" borderId="0" xfId="0" applyFont="1" applyFill="1" applyAlignment="1">
      <alignment horizontal="center" vertical="center"/>
    </xf>
    <xf numFmtId="0" fontId="47" fillId="14" borderId="0" xfId="0" applyFont="1" applyFill="1" applyAlignment="1">
      <alignment horizontal="right" vertical="center"/>
    </xf>
    <xf numFmtId="0" fontId="0" fillId="0" borderId="0" xfId="0"/>
    <xf numFmtId="0" fontId="48" fillId="17" borderId="0" xfId="0" applyFont="1" applyFill="1" applyAlignment="1">
      <alignment horizontal="left" vertical="center"/>
    </xf>
    <xf numFmtId="0" fontId="43" fillId="16" borderId="0" xfId="0" applyFont="1" applyFill="1" applyAlignment="1">
      <alignment horizontal="center" vertical="center"/>
    </xf>
    <xf numFmtId="0" fontId="44" fillId="19" borderId="0" xfId="0" applyFont="1" applyFill="1" applyAlignment="1">
      <alignment horizontal="center" vertical="center"/>
    </xf>
    <xf numFmtId="0" fontId="0" fillId="20" borderId="0" xfId="0" applyFill="1"/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9" fillId="19" borderId="0" xfId="0" applyFont="1" applyFill="1" applyAlignment="1">
      <alignment horizontal="center" vertical="center"/>
    </xf>
    <xf numFmtId="0" fontId="50" fillId="21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25" fillId="1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0">
    <dxf>
      <fill>
        <patternFill>
          <bgColor rgb="FFEF2135"/>
        </patternFill>
      </fill>
    </dxf>
    <dxf>
      <fill>
        <patternFill>
          <bgColor rgb="FFFFCC66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ont>
        <b/>
        <i val="0"/>
      </font>
      <fill>
        <patternFill>
          <bgColor rgb="FFFFFFCC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ont>
        <b/>
        <i val="0"/>
        <color theme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5050"/>
        </patternFill>
      </fill>
    </dxf>
    <dxf>
      <fill>
        <patternFill>
          <bgColor rgb="FFEF213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FCC66"/>
      <color rgb="FFFF5D5D"/>
      <color rgb="FFFFFFCC"/>
      <color rgb="FFFF5050"/>
      <color rgb="FFFF3300"/>
      <color rgb="FFFFFF99"/>
      <color rgb="FFEF2135"/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Stress Test: Z-Score Across Scenarios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2495854802852194"/>
          <c:y val="3.1975311750297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STRESS_TEST!$G$6</c:f>
              <c:strCache>
                <c:ptCount val="1"/>
                <c:pt idx="0">
                  <c:v>Z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AB-498C-9430-F2B91BD0B61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AB-498C-9430-F2B91BD0B614}"/>
              </c:ext>
            </c:extLst>
          </c:dPt>
          <c:dPt>
            <c:idx val="2"/>
            <c:invertIfNegative val="0"/>
            <c:bubble3D val="0"/>
            <c:spPr>
              <a:solidFill>
                <a:srgbClr val="FF5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AB-498C-9430-F2B91BD0B614}"/>
              </c:ext>
            </c:extLst>
          </c:dPt>
          <c:cat>
            <c:strRef>
              <c:f>STRESS_TEST!$H$3:$J$3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STRESS_TEST!$H$6:$J$6</c:f>
              <c:numCache>
                <c:formatCode>General</c:formatCode>
                <c:ptCount val="3"/>
                <c:pt idx="0">
                  <c:v>2.0793025647943608</c:v>
                </c:pt>
                <c:pt idx="1">
                  <c:v>1.9597048378665498</c:v>
                </c:pt>
                <c:pt idx="2">
                  <c:v>1.8324608468374282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B-498C-9430-F2B91BD0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3081583"/>
        <c:axId val="333082543"/>
      </c:barChart>
      <c:lineChart>
        <c:grouping val="standard"/>
        <c:varyColors val="0"/>
        <c:ser>
          <c:idx val="0"/>
          <c:order val="0"/>
          <c:tx>
            <c:strRef>
              <c:f>STRESS_TEST!$G$4</c:f>
              <c:strCache>
                <c:ptCount val="1"/>
                <c:pt idx="0">
                  <c:v>Distress Line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STRESS_TEST!$H$3:$J$3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STRESS_TEST!$H$4:$J$4</c:f>
              <c:numCache>
                <c:formatCode>General</c:formatCode>
                <c:ptCount val="3"/>
                <c:pt idx="0">
                  <c:v>1.81</c:v>
                </c:pt>
                <c:pt idx="1">
                  <c:v>1.81</c:v>
                </c:pt>
                <c:pt idx="2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B-498C-9430-F2B91BD0B614}"/>
            </c:ext>
          </c:extLst>
        </c:ser>
        <c:ser>
          <c:idx val="1"/>
          <c:order val="1"/>
          <c:tx>
            <c:strRef>
              <c:f>STRESS_TEST!$G$5</c:f>
              <c:strCache>
                <c:ptCount val="1"/>
                <c:pt idx="0">
                  <c:v>Safe Line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STRESS_TEST!$H$3:$J$3</c:f>
              <c:strCache>
                <c:ptCount val="3"/>
                <c:pt idx="0">
                  <c:v>Base</c:v>
                </c:pt>
                <c:pt idx="1">
                  <c:v>Mild</c:v>
                </c:pt>
                <c:pt idx="2">
                  <c:v>Severe</c:v>
                </c:pt>
              </c:strCache>
            </c:strRef>
          </c:cat>
          <c:val>
            <c:numRef>
              <c:f>STRESS_TEST!$H$5:$J$5</c:f>
              <c:numCache>
                <c:formatCode>General</c:formatCode>
                <c:ptCount val="3"/>
                <c:pt idx="0">
                  <c:v>2.99</c:v>
                </c:pt>
                <c:pt idx="1">
                  <c:v>2.99</c:v>
                </c:pt>
                <c:pt idx="2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B-498C-9430-F2B91BD0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081583"/>
        <c:axId val="333082543"/>
      </c:lineChart>
      <c:catAx>
        <c:axId val="33308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82543"/>
        <c:crosses val="autoZero"/>
        <c:auto val="1"/>
        <c:lblAlgn val="ctr"/>
        <c:lblOffset val="100"/>
        <c:noMultiLvlLbl val="0"/>
      </c:catAx>
      <c:valAx>
        <c:axId val="3330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8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997602</xdr:colOff>
      <xdr:row>15</xdr:row>
      <xdr:rowOff>17402</xdr:rowOff>
    </xdr:from>
    <xdr:to>
      <xdr:col>3</xdr:col>
      <xdr:colOff>188646</xdr:colOff>
      <xdr:row>30</xdr:row>
      <xdr:rowOff>17402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46357-8F50-FCCC-24C8-6379C569C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lan\Downloads\Project1_CreditRisk_FIXED.xlsx" TargetMode="External"/><Relationship Id="rId1" Type="http://schemas.openxmlformats.org/officeDocument/2006/relationships/externalLinkPath" Target="file:///C:\Users\helan\Downloads\Project1_CreditRisk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PUTS"/>
      <sheetName val="RATIOS"/>
      <sheetName val="ZSCORE"/>
      <sheetName val="STRESS_TEST"/>
      <sheetName val="PEER_COMP"/>
      <sheetName val="DASHBOARD"/>
      <sheetName val="Sheet8"/>
    </sheetNames>
    <sheetDataSet>
      <sheetData sheetId="0"/>
      <sheetData sheetId="1">
        <row r="2">
          <cell r="B2" t="str">
            <v>Tata Steel Limited</v>
          </cell>
        </row>
        <row r="3">
          <cell r="B3" t="str">
            <v>TATASTEEL</v>
          </cell>
        </row>
        <row r="4">
          <cell r="B4">
            <v>46180</v>
          </cell>
        </row>
        <row r="5">
          <cell r="B5" t="str">
            <v>Crores INR</v>
          </cell>
        </row>
        <row r="6">
          <cell r="B6">
            <v>46082</v>
          </cell>
        </row>
      </sheetData>
      <sheetData sheetId="2"/>
      <sheetData sheetId="3">
        <row r="5">
          <cell r="B5">
            <v>2.0793025647943608</v>
          </cell>
        </row>
        <row r="7">
          <cell r="B7" t="str">
            <v>GREY ZONE — Monitor closely</v>
          </cell>
        </row>
        <row r="11">
          <cell r="B11" t="str">
            <v>BB/B</v>
          </cell>
        </row>
      </sheetData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73E72-EDF3-4939-A1C5-BFD4D00464FD}" name="Table1" displayName="Table1" ref="A11:D16" totalsRowShown="0" headerRowDxfId="19" dataDxfId="18">
  <autoFilter ref="A11:D16" xr:uid="{41673E72-EDF3-4939-A1C5-BFD4D00464FD}"/>
  <tableColumns count="4">
    <tableColumn id="1" xr3:uid="{E11BFD8D-4CF8-49B5-8DB8-CB9BF7D16FF0}" name="Ratio" dataDxfId="17"/>
    <tableColumn id="2" xr3:uid="{ADA68096-E359-4D26-8077-9A5894943539}" name="Value" dataDxfId="16">
      <calculatedColumnFormula>ROUND(RATIOS!C7,2)</calculatedColumnFormula>
    </tableColumn>
    <tableColumn id="3" xr3:uid="{583C9B0C-B6BD-416F-BC37-BB5DC8ABAFC8}" name="Weight" dataDxfId="15"/>
    <tableColumn id="4" xr3:uid="{19A5B357-177B-4C69-B3F8-23BA7E19DD2B}" name="Interpretation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7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A08B20-FEA7-4CBB-9ABC-5BB1D06FDFCA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A364DECE-9818-4D7A-B3EE-CEC445AAA21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reener.in/company/TATASTEEL/" TargetMode="External"/><Relationship Id="rId1" Type="http://schemas.openxmlformats.org/officeDocument/2006/relationships/hyperlink" Target="https://www.screener.in/company/TATASTE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BD7F-A544-4D7F-9A03-C8FC6D0352D8}">
  <sheetPr>
    <tabColor theme="7" tint="-0.249977111117893"/>
  </sheetPr>
  <dimension ref="A1:H26"/>
  <sheetViews>
    <sheetView tabSelected="1" topLeftCell="A11" workbookViewId="0">
      <selection activeCell="D20" sqref="D20:G20"/>
    </sheetView>
  </sheetViews>
  <sheetFormatPr defaultRowHeight="14.4"/>
  <cols>
    <col min="1" max="1" width="3" customWidth="1"/>
    <col min="2" max="3" width="18" customWidth="1"/>
    <col min="4" max="4" width="20" customWidth="1"/>
    <col min="5" max="7" width="15" customWidth="1"/>
    <col min="8" max="8" width="3" customWidth="1"/>
  </cols>
  <sheetData>
    <row r="1" spans="1:8" ht="15" customHeight="1"/>
    <row r="2" spans="1:8" ht="15" customHeight="1"/>
    <row r="3" spans="1:8" ht="30" customHeight="1">
      <c r="A3" s="99" t="s">
        <v>151</v>
      </c>
      <c r="B3" s="97"/>
      <c r="C3" s="97"/>
      <c r="D3" s="97"/>
      <c r="E3" s="97"/>
      <c r="F3" s="97"/>
      <c r="G3" s="97"/>
      <c r="H3" s="97"/>
    </row>
    <row r="4" spans="1:8" ht="30" customHeight="1">
      <c r="A4" s="97"/>
      <c r="B4" s="97"/>
      <c r="C4" s="97"/>
      <c r="D4" s="97"/>
      <c r="E4" s="97"/>
      <c r="F4" s="97"/>
      <c r="G4" s="97"/>
      <c r="H4" s="97"/>
    </row>
    <row r="5" spans="1:8" ht="30" customHeight="1">
      <c r="A5" s="97"/>
      <c r="B5" s="97"/>
      <c r="C5" s="97"/>
      <c r="D5" s="97"/>
      <c r="E5" s="97"/>
      <c r="F5" s="97"/>
      <c r="G5" s="97"/>
      <c r="H5" s="97"/>
    </row>
    <row r="6" spans="1:8" ht="30" customHeight="1">
      <c r="A6" s="97"/>
      <c r="B6" s="97"/>
      <c r="C6" s="97"/>
      <c r="D6" s="97"/>
      <c r="E6" s="97"/>
      <c r="F6" s="97"/>
      <c r="G6" s="97"/>
      <c r="H6" s="97"/>
    </row>
    <row r="7" spans="1:8" ht="17.399999999999999">
      <c r="A7" s="100" t="s">
        <v>152</v>
      </c>
      <c r="B7" s="97"/>
      <c r="C7" s="97"/>
      <c r="D7" s="97"/>
      <c r="E7" s="97"/>
      <c r="F7" s="97"/>
      <c r="G7" s="97"/>
      <c r="H7" s="97"/>
    </row>
    <row r="8" spans="1:8" ht="6" customHeight="1">
      <c r="A8" s="101"/>
      <c r="B8" s="97"/>
      <c r="C8" s="97"/>
      <c r="D8" s="97"/>
      <c r="E8" s="97"/>
      <c r="F8" s="97"/>
      <c r="G8" s="97"/>
      <c r="H8" s="97"/>
    </row>
    <row r="9" spans="1:8" ht="19.95" customHeight="1"/>
    <row r="10" spans="1:8" ht="22.05" customHeight="1">
      <c r="A10" s="102" t="s">
        <v>153</v>
      </c>
      <c r="B10" s="97"/>
      <c r="C10" s="97"/>
      <c r="D10" s="97"/>
      <c r="E10" s="97"/>
      <c r="F10" s="97"/>
      <c r="G10" s="97"/>
      <c r="H10" s="97"/>
    </row>
    <row r="11" spans="1:8" ht="28.2">
      <c r="A11" s="103" t="str">
        <f>[1]INPUTS!B2</f>
        <v>Tata Steel Limited</v>
      </c>
      <c r="B11" s="97"/>
      <c r="C11" s="97"/>
      <c r="D11" s="97"/>
      <c r="E11" s="97"/>
      <c r="F11" s="97"/>
      <c r="G11" s="97"/>
      <c r="H11" s="97"/>
    </row>
    <row r="12" spans="1:8" ht="15" customHeight="1"/>
    <row r="13" spans="1:8" ht="24" customHeight="1">
      <c r="B13" s="96" t="s">
        <v>38</v>
      </c>
      <c r="C13" s="97"/>
      <c r="D13" s="98" t="str">
        <f>[1]INPUTS!B3</f>
        <v>TATASTEEL</v>
      </c>
      <c r="E13" s="97"/>
      <c r="F13" s="97"/>
      <c r="G13" s="97"/>
    </row>
    <row r="14" spans="1:8" ht="24" customHeight="1">
      <c r="B14" s="96" t="s">
        <v>39</v>
      </c>
      <c r="C14" s="97"/>
      <c r="D14" s="98" t="str">
        <f>TEXT([1]INPUTS!B4,"DD-MM-YYYY")</f>
        <v>07-06-2026</v>
      </c>
      <c r="E14" s="97"/>
      <c r="F14" s="97"/>
      <c r="G14" s="97"/>
    </row>
    <row r="15" spans="1:8" ht="24" customHeight="1">
      <c r="B15" s="96" t="s">
        <v>42</v>
      </c>
      <c r="C15" s="97"/>
      <c r="D15" s="98" t="str">
        <f>TEXT([1]INPUTS!B6,"MMM-YYYY")</f>
        <v>Mar-2026</v>
      </c>
      <c r="E15" s="97"/>
      <c r="F15" s="97"/>
      <c r="G15" s="97"/>
    </row>
    <row r="16" spans="1:8" ht="24" customHeight="1">
      <c r="B16" s="96" t="s">
        <v>154</v>
      </c>
      <c r="C16" s="97"/>
      <c r="D16" s="98" t="str">
        <f>[1]INPUTS!B5</f>
        <v>Crores INR</v>
      </c>
      <c r="E16" s="97"/>
      <c r="F16" s="97"/>
      <c r="G16" s="97"/>
    </row>
    <row r="17" spans="1:8" ht="24" customHeight="1">
      <c r="B17" s="96" t="s">
        <v>155</v>
      </c>
      <c r="C17" s="97"/>
      <c r="D17" s="98" t="s">
        <v>156</v>
      </c>
      <c r="E17" s="97"/>
      <c r="F17" s="97"/>
      <c r="G17" s="97"/>
    </row>
    <row r="18" spans="1:8" ht="24" customHeight="1">
      <c r="B18" s="96" t="s">
        <v>157</v>
      </c>
      <c r="C18" s="97"/>
      <c r="D18" s="98" t="s">
        <v>158</v>
      </c>
      <c r="E18" s="97"/>
      <c r="F18" s="97"/>
      <c r="G18" s="97"/>
    </row>
    <row r="19" spans="1:8" ht="24" customHeight="1">
      <c r="B19" s="96" t="s">
        <v>159</v>
      </c>
      <c r="C19" s="97"/>
      <c r="D19" s="98" t="s">
        <v>164</v>
      </c>
      <c r="E19" s="97"/>
      <c r="F19" s="97"/>
      <c r="G19" s="97"/>
    </row>
    <row r="20" spans="1:8" ht="24" customHeight="1">
      <c r="B20" s="96" t="s">
        <v>160</v>
      </c>
      <c r="C20" s="97"/>
      <c r="D20" s="98" t="s">
        <v>161</v>
      </c>
      <c r="E20" s="97"/>
      <c r="F20" s="97"/>
      <c r="G20" s="97"/>
    </row>
    <row r="22" spans="1:8" ht="19.95" customHeight="1"/>
    <row r="23" spans="1:8" ht="28.05" customHeight="1">
      <c r="B23" s="104" t="s">
        <v>162</v>
      </c>
      <c r="C23" s="97"/>
      <c r="D23" s="97"/>
      <c r="E23" s="97"/>
      <c r="F23" s="97"/>
      <c r="G23" s="97"/>
    </row>
    <row r="24" spans="1:8" ht="16.8">
      <c r="B24" s="105" t="str">
        <f>[1]ZSCORE!B5&amp;"  |  "&amp;[1]ZSCORE!B7&amp;"  |  "&amp;[1]ZSCORE!B11</f>
        <v>2.07930256479436  |  GREY ZONE — Monitor closely  |  BB/B</v>
      </c>
      <c r="C24" s="97"/>
      <c r="D24" s="97"/>
      <c r="E24" s="97"/>
      <c r="F24" s="97"/>
      <c r="G24" s="97"/>
    </row>
    <row r="26" spans="1:8" ht="18" customHeight="1">
      <c r="A26" s="106" t="s">
        <v>163</v>
      </c>
      <c r="B26" s="97"/>
      <c r="C26" s="97"/>
      <c r="D26" s="97"/>
      <c r="E26" s="97"/>
      <c r="F26" s="97"/>
      <c r="G26" s="97"/>
      <c r="H26" s="97"/>
    </row>
  </sheetData>
  <mergeCells count="24">
    <mergeCell ref="B20:C20"/>
    <mergeCell ref="D20:G20"/>
    <mergeCell ref="B23:G23"/>
    <mergeCell ref="B24:G24"/>
    <mergeCell ref="A26:H26"/>
    <mergeCell ref="B17:C17"/>
    <mergeCell ref="D17:G17"/>
    <mergeCell ref="B18:C18"/>
    <mergeCell ref="D18:G18"/>
    <mergeCell ref="B19:C19"/>
    <mergeCell ref="D19:G19"/>
    <mergeCell ref="B14:C14"/>
    <mergeCell ref="D14:G14"/>
    <mergeCell ref="B15:C15"/>
    <mergeCell ref="D15:G15"/>
    <mergeCell ref="B16:C16"/>
    <mergeCell ref="D16:G16"/>
    <mergeCell ref="B13:C13"/>
    <mergeCell ref="D13:G13"/>
    <mergeCell ref="A3:H6"/>
    <mergeCell ref="A7:H7"/>
    <mergeCell ref="A8:H8"/>
    <mergeCell ref="A10:H10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1571-82FE-4A15-8220-BFC9F1AD461A}">
  <sheetPr>
    <tabColor theme="5" tint="0.39997558519241921"/>
  </sheetPr>
  <dimension ref="A1:C17"/>
  <sheetViews>
    <sheetView workbookViewId="0">
      <selection activeCell="B10" sqref="B10"/>
    </sheetView>
  </sheetViews>
  <sheetFormatPr defaultRowHeight="14.4"/>
  <cols>
    <col min="1" max="1" width="39.44140625" bestFit="1" customWidth="1"/>
    <col min="2" max="2" width="20.77734375" customWidth="1"/>
    <col min="3" max="3" width="30.77734375" customWidth="1"/>
  </cols>
  <sheetData>
    <row r="1" spans="1:3" ht="18" thickBot="1">
      <c r="A1" s="22" t="s">
        <v>36</v>
      </c>
    </row>
    <row r="2" spans="1:3" ht="15" thickBot="1">
      <c r="A2" s="23" t="s">
        <v>37</v>
      </c>
      <c r="B2" s="24" t="s">
        <v>53</v>
      </c>
      <c r="C2" s="23" t="s">
        <v>55</v>
      </c>
    </row>
    <row r="3" spans="1:3" ht="15" thickBot="1">
      <c r="A3" s="25" t="s">
        <v>38</v>
      </c>
      <c r="B3" s="26" t="s">
        <v>54</v>
      </c>
      <c r="C3" s="25" t="s">
        <v>56</v>
      </c>
    </row>
    <row r="4" spans="1:3" ht="15" thickBot="1">
      <c r="A4" s="27" t="s">
        <v>39</v>
      </c>
      <c r="B4" s="28">
        <f ca="1">TODAY()</f>
        <v>46181</v>
      </c>
      <c r="C4" s="27" t="s">
        <v>57</v>
      </c>
    </row>
    <row r="5" spans="1:3" ht="15" thickBot="1">
      <c r="A5" s="29" t="s">
        <v>40</v>
      </c>
      <c r="B5" s="30" t="s">
        <v>41</v>
      </c>
      <c r="C5" s="25" t="s">
        <v>55</v>
      </c>
    </row>
    <row r="6" spans="1:3" ht="15" thickBot="1">
      <c r="A6" s="27" t="s">
        <v>42</v>
      </c>
      <c r="B6" s="32">
        <v>46082</v>
      </c>
      <c r="C6" s="27" t="s">
        <v>55</v>
      </c>
    </row>
    <row r="7" spans="1:3" ht="15" thickBot="1">
      <c r="A7" s="25" t="s">
        <v>43</v>
      </c>
      <c r="B7" s="26"/>
      <c r="C7" s="25" t="s">
        <v>44</v>
      </c>
    </row>
    <row r="8" spans="1:3" ht="15" thickBot="1">
      <c r="A8" s="27" t="s">
        <v>45</v>
      </c>
      <c r="B8" s="15">
        <v>81021</v>
      </c>
      <c r="C8" s="27" t="s">
        <v>58</v>
      </c>
    </row>
    <row r="9" spans="1:3" ht="27" thickBot="1">
      <c r="A9" s="25" t="s">
        <v>46</v>
      </c>
      <c r="B9" s="12">
        <v>101965</v>
      </c>
      <c r="C9" s="25" t="s">
        <v>59</v>
      </c>
    </row>
    <row r="10" spans="1:3" ht="15" thickBot="1">
      <c r="A10" s="27" t="s">
        <v>21</v>
      </c>
      <c r="B10" s="12">
        <v>296515</v>
      </c>
      <c r="C10" s="27" t="s">
        <v>60</v>
      </c>
    </row>
    <row r="11" spans="1:3" ht="15" thickBot="1">
      <c r="A11" s="25" t="s">
        <v>11</v>
      </c>
      <c r="B11" s="15">
        <v>296515</v>
      </c>
      <c r="C11" s="25" t="s">
        <v>61</v>
      </c>
    </row>
    <row r="12" spans="1:3" ht="27" thickBot="1">
      <c r="A12" s="27" t="s">
        <v>47</v>
      </c>
      <c r="B12" s="17">
        <v>100920</v>
      </c>
      <c r="C12" s="27" t="s">
        <v>62</v>
      </c>
    </row>
    <row r="13" spans="1:3" ht="15" thickBot="1">
      <c r="A13" s="25" t="s">
        <v>48</v>
      </c>
      <c r="B13" s="26"/>
      <c r="C13" s="25" t="s">
        <v>44</v>
      </c>
    </row>
    <row r="14" spans="1:3" ht="15" thickBot="1">
      <c r="A14" s="27" t="s">
        <v>49</v>
      </c>
      <c r="B14" s="21">
        <v>232140</v>
      </c>
      <c r="C14" s="27" t="s">
        <v>63</v>
      </c>
    </row>
    <row r="15" spans="1:3" ht="15" thickBot="1">
      <c r="A15" s="25" t="s">
        <v>50</v>
      </c>
      <c r="B15" s="15">
        <v>34352</v>
      </c>
      <c r="C15" s="25" t="s">
        <v>64</v>
      </c>
    </row>
    <row r="16" spans="1:3" ht="15" thickBot="1">
      <c r="A16" s="27" t="s">
        <v>51</v>
      </c>
      <c r="B16" s="31"/>
      <c r="C16" s="27" t="s">
        <v>44</v>
      </c>
    </row>
    <row r="17" spans="1:3" ht="15" thickBot="1">
      <c r="A17" s="25" t="s">
        <v>52</v>
      </c>
      <c r="B17" s="33">
        <v>258146</v>
      </c>
      <c r="C17" s="25" t="s">
        <v>65</v>
      </c>
    </row>
  </sheetData>
  <conditionalFormatting sqref="B7:B17">
    <cfRule type="containsBlanks" dxfId="13" priority="1">
      <formula>LEN(TRIM(B7))=0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4675-E0AF-4E05-9813-9CE6D8A7895B}">
  <sheetPr>
    <tabColor rgb="FFFFFFB3"/>
  </sheetPr>
  <dimension ref="A1:H13"/>
  <sheetViews>
    <sheetView zoomScale="69" workbookViewId="0">
      <selection activeCell="C9" sqref="C9"/>
    </sheetView>
  </sheetViews>
  <sheetFormatPr defaultRowHeight="14.4"/>
  <cols>
    <col min="1" max="1" width="14" bestFit="1" customWidth="1"/>
    <col min="2" max="2" width="43.21875" bestFit="1" customWidth="1"/>
    <col min="3" max="3" width="15.5546875" bestFit="1" customWidth="1"/>
    <col min="4" max="4" width="6" bestFit="1" customWidth="1"/>
    <col min="6" max="6" width="15.33203125" bestFit="1" customWidth="1"/>
    <col min="7" max="7" width="35.6640625" customWidth="1"/>
  </cols>
  <sheetData>
    <row r="1" spans="1:8" ht="17.399999999999999">
      <c r="A1" s="107" t="s">
        <v>66</v>
      </c>
      <c r="B1" s="107"/>
      <c r="C1" s="107"/>
      <c r="D1" s="107"/>
      <c r="E1" s="107"/>
      <c r="F1" s="107"/>
      <c r="G1" s="107"/>
      <c r="H1" s="107"/>
    </row>
    <row r="3" spans="1:8">
      <c r="A3" s="34" t="s">
        <v>67</v>
      </c>
      <c r="B3" s="34" t="s">
        <v>68</v>
      </c>
      <c r="C3" s="34" t="s">
        <v>70</v>
      </c>
      <c r="D3" s="34" t="s">
        <v>69</v>
      </c>
      <c r="E3" s="34" t="s">
        <v>71</v>
      </c>
      <c r="F3" s="34" t="s">
        <v>72</v>
      </c>
      <c r="G3" s="34" t="s">
        <v>73</v>
      </c>
    </row>
    <row r="4" spans="1:8" ht="15" thickBot="1"/>
    <row r="5" spans="1:8" ht="28.2" thickBot="1">
      <c r="A5" s="34" t="s">
        <v>76</v>
      </c>
      <c r="B5" s="35" t="s">
        <v>74</v>
      </c>
      <c r="C5" s="36">
        <f>(INPUTS!B8-INPUTS!B9)/INPUTS!B10</f>
        <v>-7.0633863379592932E-2</v>
      </c>
      <c r="E5" s="34">
        <v>1.2</v>
      </c>
      <c r="F5" s="36">
        <f>C5*E5</f>
        <v>-8.4760636055511512E-2</v>
      </c>
      <c r="G5" s="37" t="str">
        <f>IF(C5&gt;0.1,"HEALTHY — positive working capital",IF(C5&gt;0,"CAUTION — thin liquidity buffer","DISTRESS — negative working capital"))</f>
        <v>DISTRESS — negative working capital</v>
      </c>
    </row>
    <row r="6" spans="1:8" ht="15" thickBot="1"/>
    <row r="7" spans="1:8" ht="28.2" thickBot="1">
      <c r="A7" s="34" t="s">
        <v>75</v>
      </c>
      <c r="B7" s="38" t="s">
        <v>77</v>
      </c>
      <c r="C7" s="36">
        <f>INPUTS!B12/INPUTS!B10</f>
        <v>0.34035377636881775</v>
      </c>
      <c r="E7" s="34">
        <v>1.4</v>
      </c>
      <c r="F7" s="35">
        <f>C7*E7</f>
        <v>0.4764952869163448</v>
      </c>
      <c r="G7" s="37" t="str">
        <f>IF(C7&gt;0.3,"HEALTHY — strong retained profits",IF(C7&gt;0,"MODERATE — limited earnings history","DISTRESS — accumulated losses"))</f>
        <v>HEALTHY — strong retained profits</v>
      </c>
    </row>
    <row r="8" spans="1:8" ht="15" thickBot="1"/>
    <row r="9" spans="1:8" ht="15" thickBot="1">
      <c r="A9" s="38" t="s">
        <v>78</v>
      </c>
      <c r="B9" s="38" t="s">
        <v>79</v>
      </c>
      <c r="C9" s="39">
        <f>INPUTS!B15/INPUTS!B10</f>
        <v>0.11585248638348819</v>
      </c>
      <c r="E9" s="34">
        <v>3.3</v>
      </c>
      <c r="F9" s="34">
        <f>C9*E9</f>
        <v>0.38231320506551103</v>
      </c>
      <c r="G9" s="40" t="str">
        <f>IF(C9&gt;0.15,"HEALTHY — strong asset profitability",IF(C9&gt;0,"MODERATE — low ROA","DISTRESS — operating at a loss"))</f>
        <v>MODERATE — low ROA</v>
      </c>
    </row>
    <row r="10" spans="1:8" ht="15" thickBot="1"/>
    <row r="11" spans="1:8" ht="28.2" thickBot="1">
      <c r="A11" s="38" t="s">
        <v>80</v>
      </c>
      <c r="B11" s="38" t="s">
        <v>81</v>
      </c>
      <c r="C11" s="39">
        <f>INPUTS!B17/INPUTS!B11</f>
        <v>0.87060013827293725</v>
      </c>
      <c r="E11" s="34">
        <v>0.6</v>
      </c>
      <c r="F11" s="34">
        <f>C11*E11</f>
        <v>0.52236008296376235</v>
      </c>
      <c r="G11" s="40" t="str">
        <f>IF(C11&gt;2,"HEALTHY — market confident in solvency",IF(C11&gt;1,"MODERATE — market-to-debt near parity","DISTRESS — market doubts solvency"))</f>
        <v>DISTRESS — market doubts solvency</v>
      </c>
    </row>
    <row r="12" spans="1:8" ht="15" thickBot="1"/>
    <row r="13" spans="1:8" ht="28.2" thickBot="1">
      <c r="A13" s="38" t="s">
        <v>82</v>
      </c>
      <c r="B13" s="38" t="s">
        <v>83</v>
      </c>
      <c r="C13" s="36">
        <f>INPUTS!B14/INPUTS!B10</f>
        <v>0.7828946259042544</v>
      </c>
      <c r="E13" s="34">
        <v>1</v>
      </c>
      <c r="F13" s="34">
        <f>C13*E13</f>
        <v>0.7828946259042544</v>
      </c>
      <c r="G13" s="37" t="str">
        <f>IF(C13&gt;0.8,"EFFICIENT — high asset utilisation",IF(C13&gt;0.4,"MODERATE — average efficiency","LOW — poor asset utilisation"))</f>
        <v>MODERATE — average efficiency</v>
      </c>
    </row>
  </sheetData>
  <mergeCells count="1">
    <mergeCell ref="A1:H1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F556-40B1-401F-8E6D-5FCCFA7797A9}">
  <sheetPr>
    <tabColor theme="6" tint="0.59999389629810485"/>
  </sheetPr>
  <dimension ref="A1:F13"/>
  <sheetViews>
    <sheetView workbookViewId="0">
      <selection activeCell="B11" sqref="B11"/>
    </sheetView>
  </sheetViews>
  <sheetFormatPr defaultRowHeight="14.4"/>
  <cols>
    <col min="1" max="1" width="27" bestFit="1" customWidth="1"/>
    <col min="2" max="2" width="38.21875" bestFit="1" customWidth="1"/>
  </cols>
  <sheetData>
    <row r="1" spans="1:6" ht="17.399999999999999">
      <c r="A1" s="108" t="s">
        <v>84</v>
      </c>
      <c r="B1" s="108"/>
      <c r="C1" s="108"/>
      <c r="D1" s="108"/>
      <c r="E1" s="108"/>
      <c r="F1" s="108"/>
    </row>
    <row r="4" spans="1:6" ht="15" thickBot="1"/>
    <row r="5" spans="1:6" ht="15" thickBot="1">
      <c r="A5" s="34" t="s">
        <v>85</v>
      </c>
      <c r="B5" s="37">
        <f>RATIOS!F5+RATIOS!F7+RATIOS!F9+RATIOS!F11+RATIOS!F13</f>
        <v>2.0793025647943608</v>
      </c>
    </row>
    <row r="6" spans="1:6" ht="15" thickBot="1"/>
    <row r="7" spans="1:6" ht="15" thickBot="1">
      <c r="A7" s="34" t="s">
        <v>86</v>
      </c>
      <c r="B7" s="37" t="str">
        <f>IF(B5&gt;2.99,"SAFE ZONE — Low bankruptcy risk",IF(B5&gt;1.81,"GREY ZONE — Monitor closely","DISTRESS ZONE — High bankruptcy risk"))</f>
        <v>GREY ZONE — Monitor closely</v>
      </c>
    </row>
    <row r="8" spans="1:6" ht="15" thickBot="1"/>
    <row r="9" spans="1:6" ht="15" thickBot="1">
      <c r="A9" s="34" t="s">
        <v>87</v>
      </c>
      <c r="B9" s="37">
        <f>IF(B5&gt;=4,10,IF(B5&gt;=3.5,9,IF(B5&gt;=2.99,8,IF(B5&gt;=2.5,7,IF(B5&gt;=2,6,IF(B5&gt;=1.81,5,IF(B5&gt;=1.5,4,IF(B5&gt;=1.2,3,IF(B5&gt;=0.8,2,1)))))))))</f>
        <v>6</v>
      </c>
    </row>
    <row r="10" spans="1:6" ht="15" thickBot="1"/>
    <row r="11" spans="1:6" ht="15" thickBot="1">
      <c r="A11" s="34" t="s">
        <v>88</v>
      </c>
      <c r="B11" s="37" t="str">
        <f>IF(B9&gt;=9,"AAA/AA",IF(B9&gt;=7,"A/BBB",IF(B9&gt;=5,"BB/B",IF(B9&gt;=3,"CCC/CC","D/Default Risk"))))</f>
        <v>BB/B</v>
      </c>
    </row>
    <row r="12" spans="1:6" ht="15" thickBot="1"/>
    <row r="13" spans="1:6" ht="42" thickBot="1">
      <c r="A13" s="35" t="s">
        <v>89</v>
      </c>
      <c r="B13" s="37" t="str">
        <f>IF(B9&gt;=7,"BUY / HOLD — Financially healthy, low credit risk",IF(B9&gt;=4,"NEUTRAL — Monitor for deterioration, limit credit exposure","SELL / AVOID — High distress risk, do not extend credit"))</f>
        <v>NEUTRAL — Monitor for deterioration, limit credit exposure</v>
      </c>
    </row>
  </sheetData>
  <mergeCells count="1">
    <mergeCell ref="A1:F1"/>
  </mergeCells>
  <conditionalFormatting sqref="B7">
    <cfRule type="containsText" dxfId="12" priority="9" operator="containsText" text="DISTRESS ZONE ">
      <formula>NOT(ISERROR(SEARCH("DISTRESS ZONE ",B7)))</formula>
    </cfRule>
    <cfRule type="containsText" dxfId="11" priority="10" operator="containsText" text="GREY ZONE ">
      <formula>NOT(ISERROR(SEARCH("GREY ZONE ",B7)))</formula>
    </cfRule>
    <cfRule type="containsText" dxfId="10" priority="11" operator="containsText" text="SAFE ZONE ">
      <formula>NOT(ISERROR(SEARCH("SAFE ZONE ",B7)))</formula>
    </cfRule>
  </conditionalFormatting>
  <conditionalFormatting sqref="B11">
    <cfRule type="containsText" dxfId="9" priority="4" operator="containsText" text="D">
      <formula>NOT(ISERROR(SEARCH("D",B11)))</formula>
    </cfRule>
    <cfRule type="containsText" dxfId="8" priority="5" operator="containsText" text="CCC/CC ">
      <formula>NOT(ISERROR(SEARCH("CCC/CC ",B11)))</formula>
    </cfRule>
    <cfRule type="containsText" dxfId="7" priority="6" operator="containsText" text="BB/B ">
      <formula>NOT(ISERROR(SEARCH("BB/B ",B11)))</formula>
    </cfRule>
    <cfRule type="containsText" dxfId="6" priority="7" operator="containsText" text="A/BBB ">
      <formula>NOT(ISERROR(SEARCH("A/BBB ",B11)))</formula>
    </cfRule>
    <cfRule type="containsText" dxfId="5" priority="8" operator="containsText" text="AAA/AA ">
      <formula>NOT(ISERROR(SEARCH("AAA/AA ",B11)))</formula>
    </cfRule>
  </conditionalFormatting>
  <conditionalFormatting sqref="B12:D12">
    <cfRule type="containsText" dxfId="4" priority="1" operator="containsText" text="GREY ZONE ">
      <formula>NOT(ISERROR(SEARCH("GREY ZONE ",B12)))</formula>
    </cfRule>
    <cfRule type="containsText" dxfId="3" priority="3" operator="containsText" text="DISTRESS ZONE ">
      <formula>NOT(ISERROR(SEARCH("DISTRESS ZONE ",B12)))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AED3-86F5-45D6-9280-4A16531C037E}">
  <sheetPr>
    <tabColor rgb="FFFF5D5D"/>
  </sheetPr>
  <dimension ref="A1:J12"/>
  <sheetViews>
    <sheetView zoomScale="88" zoomScaleNormal="74" workbookViewId="0">
      <selection sqref="A1:I1"/>
    </sheetView>
  </sheetViews>
  <sheetFormatPr defaultRowHeight="14.4"/>
  <cols>
    <col min="1" max="1" width="23.21875" bestFit="1" customWidth="1"/>
    <col min="2" max="4" width="33.6640625" bestFit="1" customWidth="1"/>
    <col min="8" max="10" width="11.5546875" bestFit="1" customWidth="1"/>
  </cols>
  <sheetData>
    <row r="1" spans="1:10" ht="17.399999999999999">
      <c r="A1" s="108" t="s">
        <v>90</v>
      </c>
      <c r="B1" s="108"/>
      <c r="C1" s="108"/>
      <c r="D1" s="108"/>
      <c r="E1" s="108"/>
      <c r="F1" s="108"/>
      <c r="G1" s="108"/>
      <c r="H1" s="108"/>
      <c r="I1" s="108"/>
    </row>
    <row r="3" spans="1:10">
      <c r="B3" s="41" t="s">
        <v>91</v>
      </c>
      <c r="C3" s="42" t="s">
        <v>92</v>
      </c>
      <c r="D3" s="43" t="s">
        <v>93</v>
      </c>
      <c r="G3" s="47" t="s">
        <v>101</v>
      </c>
      <c r="H3" s="47" t="s">
        <v>102</v>
      </c>
      <c r="I3" s="47" t="s">
        <v>103</v>
      </c>
      <c r="J3" s="47" t="s">
        <v>106</v>
      </c>
    </row>
    <row r="4" spans="1:10" ht="29.4" thickBot="1">
      <c r="F4" s="47"/>
      <c r="G4" s="47" t="s">
        <v>104</v>
      </c>
      <c r="H4" s="47">
        <v>1.81</v>
      </c>
      <c r="I4" s="47">
        <v>1.81</v>
      </c>
      <c r="J4" s="47">
        <v>1.81</v>
      </c>
    </row>
    <row r="5" spans="1:10" ht="15" thickBot="1">
      <c r="A5" s="44" t="s">
        <v>94</v>
      </c>
      <c r="B5" s="49">
        <v>0</v>
      </c>
      <c r="C5" s="49">
        <v>-0.15</v>
      </c>
      <c r="D5" s="49">
        <v>-0.3</v>
      </c>
      <c r="F5" s="47"/>
      <c r="G5" s="47" t="s">
        <v>105</v>
      </c>
      <c r="H5" s="47">
        <v>2.99</v>
      </c>
      <c r="I5" s="47">
        <v>2.99</v>
      </c>
      <c r="J5" s="47">
        <v>2.99</v>
      </c>
    </row>
    <row r="6" spans="1:10" ht="15" thickBot="1">
      <c r="A6" s="45" t="s">
        <v>95</v>
      </c>
      <c r="B6" s="49">
        <v>0</v>
      </c>
      <c r="C6" s="49">
        <v>-0.05</v>
      </c>
      <c r="D6" s="49">
        <v>-0.12</v>
      </c>
      <c r="G6" s="47" t="s">
        <v>107</v>
      </c>
      <c r="H6" s="47">
        <f>B11</f>
        <v>2.0793025647943608</v>
      </c>
      <c r="I6" s="47">
        <f>C11</f>
        <v>1.9597048378665498</v>
      </c>
      <c r="J6" s="47">
        <f>D11</f>
        <v>1.8324608468374282</v>
      </c>
    </row>
    <row r="7" spans="1:10" ht="15" thickBot="1">
      <c r="A7" s="46" t="s">
        <v>96</v>
      </c>
      <c r="B7" s="49">
        <v>0</v>
      </c>
      <c r="C7" s="49">
        <v>-0.2</v>
      </c>
      <c r="D7" s="49">
        <v>-0.4</v>
      </c>
    </row>
    <row r="8" spans="1:10" ht="15" thickBot="1">
      <c r="A8" s="45" t="s">
        <v>97</v>
      </c>
      <c r="B8" s="50">
        <f>INPUTS!B14</f>
        <v>232140</v>
      </c>
      <c r="C8">
        <f>INPUTS!B14*(1+C5)</f>
        <v>197319</v>
      </c>
      <c r="D8">
        <f>INPUTS!B14*(1+D5)</f>
        <v>162498</v>
      </c>
    </row>
    <row r="9" spans="1:10" ht="15" thickBot="1">
      <c r="A9" s="46" t="s">
        <v>98</v>
      </c>
      <c r="B9" s="50">
        <f>INPUTS!B15</f>
        <v>34352</v>
      </c>
      <c r="C9" s="48">
        <f>INPUTS!B15*(1+C6)</f>
        <v>32634.399999999998</v>
      </c>
      <c r="D9">
        <f>INPUTS!B15*(1+D6)</f>
        <v>30229.759999999998</v>
      </c>
    </row>
    <row r="10" spans="1:10" ht="15" thickBot="1">
      <c r="A10" s="45" t="s">
        <v>99</v>
      </c>
      <c r="B10" s="50">
        <f>INPUTS!B8-INPUTS!B9</f>
        <v>-20944</v>
      </c>
      <c r="C10">
        <f>(INPUTS!B8-INPUTS!B9)*(1+C7)</f>
        <v>-16755.2</v>
      </c>
      <c r="D10">
        <f>(INPUTS!B8-INPUTS!B9)*(1+D7)</f>
        <v>-12566.4</v>
      </c>
    </row>
    <row r="11" spans="1:10" ht="15" thickBot="1">
      <c r="A11" s="46" t="s">
        <v>100</v>
      </c>
      <c r="B11">
        <f>(1.2*(B10/INPUTS!B10))+(1.4*(INPUTS!B12/INPUTS!B10))+(3.3*(B9/INPUTS!B10))+(0.6*(INPUTS!B17/INPUTS!B11))+(1*(B8/INPUTS!B10))</f>
        <v>2.0793025647943608</v>
      </c>
      <c r="C11">
        <f>(1.2*(C10/INPUTS!B10))+(1.4*(INPUTS!B12/INPUTS!B10))+(3.3*(C9/INPUTS!B10))+(0.6*(INPUTS!B17/INPUTS!B11))+(1*(C8/INPUTS!B10))</f>
        <v>1.9597048378665498</v>
      </c>
      <c r="D11">
        <f>(1.2*(D10/INPUTS!B10))+(1.4*(INPUTS!B12/INPUTS!B10))+(3.3*(D9/INPUTS!B10))+(0.6*(INPUTS!B17/INPUTS!B11))+(1*(D8/INPUTS!B10))</f>
        <v>1.8324608468374282</v>
      </c>
    </row>
    <row r="12" spans="1:10" ht="15" thickBot="1">
      <c r="A12" s="45" t="s">
        <v>86</v>
      </c>
      <c r="B12" s="41" t="str">
        <f>IF(B11&gt;2.99,"SAFE ZONE — Low bankruptcy risk",IF(B11&gt;1.81,"GREY ZONE — Monitor closely","DISTRESS ZONE — High bankruptcy risk"))</f>
        <v>GREY ZONE — Monitor closely</v>
      </c>
      <c r="C12" s="42" t="str">
        <f>IF(B11&gt;2.99,"SAFE ZONE — Low bankruptcy risk",IF(B11&gt;1.81,"GREY ZONE — Monitor closely","DISTRESS ZONE — High bankruptcy risk"))</f>
        <v>GREY ZONE — Monitor closely</v>
      </c>
      <c r="D12" s="43" t="str">
        <f>IF(B11&gt;2.99,"SAFE ZONE — Low bankruptcy risk",IF(B11&gt;1.81,"GREY ZONE — Monitor closely","DISTRESS ZONE — High bankruptcy risk"))</f>
        <v>GREY ZONE — Monitor closely</v>
      </c>
    </row>
  </sheetData>
  <mergeCells count="1">
    <mergeCell ref="A1:I1"/>
  </mergeCells>
  <conditionalFormatting sqref="B12:D12">
    <cfRule type="containsText" dxfId="2" priority="1" operator="containsText" text="GREY ZONE">
      <formula>NOT(ISERROR(SEARCH("GREY ZONE",B12)))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3796-0C4C-4E08-AE7E-F10BBA7B356A}">
  <sheetPr>
    <tabColor theme="8" tint="0.39997558519241921"/>
  </sheetPr>
  <dimension ref="A1:I7"/>
  <sheetViews>
    <sheetView workbookViewId="0">
      <selection activeCell="C16" sqref="C16"/>
    </sheetView>
  </sheetViews>
  <sheetFormatPr defaultRowHeight="14.4"/>
  <cols>
    <col min="1" max="1" width="12.5546875" bestFit="1" customWidth="1"/>
    <col min="2" max="2" width="26.5546875" bestFit="1" customWidth="1"/>
    <col min="3" max="3" width="28.77734375" bestFit="1" customWidth="1"/>
    <col min="4" max="4" width="15.33203125" bestFit="1" customWidth="1"/>
    <col min="5" max="5" width="29.88671875" bestFit="1" customWidth="1"/>
    <col min="6" max="6" width="19.5546875" bestFit="1" customWidth="1"/>
    <col min="7" max="7" width="9.88671875" bestFit="1" customWidth="1"/>
    <col min="8" max="8" width="14.5546875" bestFit="1" customWidth="1"/>
    <col min="9" max="9" width="9" bestFit="1" customWidth="1"/>
    <col min="10" max="10" width="10" bestFit="1" customWidth="1"/>
    <col min="11" max="11" width="10.6640625" bestFit="1" customWidth="1"/>
    <col min="15" max="15" width="9.77734375" bestFit="1" customWidth="1"/>
  </cols>
  <sheetData>
    <row r="1" spans="1:9" ht="16.8">
      <c r="A1" s="109" t="s">
        <v>108</v>
      </c>
      <c r="B1" s="97"/>
      <c r="C1" s="97"/>
      <c r="D1" s="97"/>
      <c r="E1" s="97"/>
      <c r="F1" s="97"/>
      <c r="G1" s="97"/>
      <c r="H1" s="97"/>
      <c r="I1" s="97"/>
    </row>
    <row r="2" spans="1:9" s="51" customFormat="1" ht="26.4">
      <c r="A2" s="52" t="s">
        <v>109</v>
      </c>
      <c r="B2" s="52" t="s">
        <v>124</v>
      </c>
      <c r="C2" s="52" t="s">
        <v>125</v>
      </c>
      <c r="D2" s="52" t="s">
        <v>126</v>
      </c>
      <c r="E2" s="52" t="s">
        <v>127</v>
      </c>
      <c r="F2" s="52" t="s">
        <v>128</v>
      </c>
      <c r="G2" s="52" t="s">
        <v>129</v>
      </c>
      <c r="H2" s="52" t="s">
        <v>130</v>
      </c>
      <c r="I2" s="52" t="s">
        <v>110</v>
      </c>
    </row>
    <row r="3" spans="1:9">
      <c r="A3" s="53" t="s">
        <v>111</v>
      </c>
      <c r="B3" s="54">
        <v>-7.0699999999999999E-2</v>
      </c>
      <c r="C3" s="54">
        <v>0.34039999999999998</v>
      </c>
      <c r="D3" s="54">
        <v>0.1159</v>
      </c>
      <c r="E3" s="54">
        <v>0.87060000000000004</v>
      </c>
      <c r="F3" s="54">
        <v>0.78290000000000004</v>
      </c>
      <c r="G3" s="55">
        <f>(1.2*B3)+(1.4*C3)+(3.3*D3)+(0.6*E3)+(1*F3)</f>
        <v>2.07945</v>
      </c>
      <c r="H3" s="56" t="str">
        <f>IF(G3&gt;2.99,"SAFE ZONE",IF(G3&gt;1.81,"GREY ZONE","DISTRESS ZONE"))</f>
        <v>GREY ZONE</v>
      </c>
      <c r="I3" s="57">
        <f>RANK(G3,$G$3:$G$7,0)</f>
        <v>3</v>
      </c>
    </row>
    <row r="4" spans="1:9">
      <c r="A4" s="58" t="s">
        <v>112</v>
      </c>
      <c r="B4" s="59">
        <v>0.18429999999999999</v>
      </c>
      <c r="C4" s="59">
        <v>0.36990000000000001</v>
      </c>
      <c r="D4" s="59">
        <v>0.10879999999999999</v>
      </c>
      <c r="E4" s="59">
        <v>1.1644000000000001</v>
      </c>
      <c r="F4" s="59">
        <v>0.68779999999999997</v>
      </c>
      <c r="G4" s="60">
        <f>(1.2*B4)+(1.4*C4)+(3.3*D4)+(0.6*E4)+(1*F4)</f>
        <v>2.4844999999999997</v>
      </c>
      <c r="H4" s="56" t="str">
        <f>IF(G4&gt;2.99,"SAFE ZONE",IF(G4&gt;1.81,"GREY ZONE","DISTRESS ZONE"))</f>
        <v>GREY ZONE</v>
      </c>
      <c r="I4" s="61">
        <f>RANK(G4,$G$3:$G$7,0)</f>
        <v>1</v>
      </c>
    </row>
    <row r="5" spans="1:9">
      <c r="A5" s="53" t="s">
        <v>113</v>
      </c>
      <c r="B5" s="54">
        <v>1.03E-2</v>
      </c>
      <c r="C5" s="54">
        <v>0.4138</v>
      </c>
      <c r="D5" s="54">
        <v>8.8300000000000003E-2</v>
      </c>
      <c r="E5" s="54">
        <v>0.57920000000000005</v>
      </c>
      <c r="F5" s="54">
        <v>0.81540000000000001</v>
      </c>
      <c r="G5" s="55">
        <f>(1.2*B5)+(1.4*C5)+(3.3*D5)+(0.6*E5)+(1*F5)</f>
        <v>2.0459900000000002</v>
      </c>
      <c r="H5" s="56" t="str">
        <f>IF(G5&gt;2.99,"SAFE ZONE",IF(G5&gt;1.81,"GREY ZONE","DISTRESS ZONE"))</f>
        <v>GREY ZONE</v>
      </c>
      <c r="I5" s="57">
        <f>RANK(G5,$G$3:$G$7,0)</f>
        <v>4</v>
      </c>
    </row>
    <row r="6" spans="1:9">
      <c r="A6" s="58" t="s">
        <v>114</v>
      </c>
      <c r="B6" s="59">
        <v>-2.18E-2</v>
      </c>
      <c r="C6" s="59">
        <v>0.51959999999999995</v>
      </c>
      <c r="D6" s="59">
        <v>9.8699999999999996E-2</v>
      </c>
      <c r="E6" s="59">
        <v>1.2326999999999999</v>
      </c>
      <c r="F6" s="59">
        <v>0.54449999999999998</v>
      </c>
      <c r="G6" s="60">
        <f>(1.2*B6)+(1.4*C6)+(3.3*D6)+(0.6*E6)+(1*F6)</f>
        <v>2.3111099999999998</v>
      </c>
      <c r="H6" s="56" t="str">
        <f>IF(G6&gt;2.99,"SAFE ZONE",IF(G6&gt;1.81,"GREY ZONE","DISTRESS ZONE"))</f>
        <v>GREY ZONE</v>
      </c>
      <c r="I6" s="61">
        <f>RANK(G6,$G$3:$G$7,0)</f>
        <v>2</v>
      </c>
    </row>
    <row r="7" spans="1:9">
      <c r="A7" s="53" t="s">
        <v>115</v>
      </c>
      <c r="B7" s="54">
        <v>-7.9200000000000007E-2</v>
      </c>
      <c r="C7" s="54">
        <v>0.36270000000000002</v>
      </c>
      <c r="D7" s="54">
        <v>5.3800000000000001E-2</v>
      </c>
      <c r="E7" s="54">
        <v>0.51849999999999996</v>
      </c>
      <c r="F7" s="54">
        <v>0.48309999999999997</v>
      </c>
      <c r="G7" s="55">
        <f>(1.2*B7)+(1.4*C7)+(3.3*D7)+(0.6*E7)+(1*F7)</f>
        <v>1.3844799999999999</v>
      </c>
      <c r="H7" s="62" t="str">
        <f>IF(G7&gt;2.99,"SAFE ZONE",IF(G7&gt;1.81,"GREY ZONE","DISTRESS ZONE"))</f>
        <v>DISTRESS ZONE</v>
      </c>
      <c r="I7" s="57">
        <f>RANK(G7,$G$3:$G$7,0)</f>
        <v>5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1C3E-2187-44DB-8751-A7798A62DE93}">
  <sheetPr>
    <tabColor theme="3" tint="0.749992370372631"/>
  </sheetPr>
  <dimension ref="A1:J36"/>
  <sheetViews>
    <sheetView topLeftCell="A5" zoomScale="72" zoomScaleNormal="78" workbookViewId="0">
      <selection activeCell="F21" sqref="F21"/>
    </sheetView>
  </sheetViews>
  <sheetFormatPr defaultRowHeight="19.95" customHeight="1"/>
  <cols>
    <col min="1" max="1" width="35.6640625" style="74" bestFit="1" customWidth="1"/>
    <col min="2" max="2" width="36.5546875" style="74" bestFit="1" customWidth="1"/>
    <col min="3" max="3" width="12.109375" style="74" bestFit="1" customWidth="1"/>
    <col min="4" max="4" width="33.21875" style="74" bestFit="1" customWidth="1"/>
    <col min="5" max="5" width="13.44140625" style="74" bestFit="1" customWidth="1"/>
    <col min="6" max="6" width="32.33203125" style="74" bestFit="1" customWidth="1"/>
    <col min="7" max="7" width="22.109375" style="74" bestFit="1" customWidth="1"/>
    <col min="8" max="8" width="31.77734375" style="74" bestFit="1" customWidth="1"/>
    <col min="9" max="16384" width="8.88671875" style="74"/>
  </cols>
  <sheetData>
    <row r="1" spans="1:10" ht="19.95" customHeight="1">
      <c r="A1" s="93" t="s">
        <v>132</v>
      </c>
      <c r="B1" s="93"/>
      <c r="C1" s="93"/>
      <c r="D1" s="93"/>
      <c r="E1" s="93"/>
      <c r="F1" s="93"/>
      <c r="G1" s="93"/>
      <c r="H1" s="93"/>
      <c r="I1" s="93"/>
      <c r="J1" s="73"/>
    </row>
    <row r="4" spans="1:10" ht="19.95" customHeight="1">
      <c r="A4" s="75"/>
      <c r="B4" s="75" t="s">
        <v>133</v>
      </c>
      <c r="C4" s="75"/>
      <c r="D4" s="75" t="s">
        <v>134</v>
      </c>
      <c r="E4" s="75"/>
      <c r="F4" s="75"/>
      <c r="G4" s="75" t="s">
        <v>136</v>
      </c>
      <c r="H4" s="75"/>
      <c r="I4" s="75"/>
      <c r="J4" s="75"/>
    </row>
    <row r="5" spans="1:10" ht="19.95" customHeight="1">
      <c r="A5" s="75"/>
      <c r="B5" s="76">
        <f>ROUND(ZSCORE!B5,2)</f>
        <v>2.08</v>
      </c>
      <c r="C5" s="75"/>
      <c r="D5" s="77" t="str">
        <f>ZSCORE!B11</f>
        <v>BB/B</v>
      </c>
      <c r="E5" s="75"/>
      <c r="F5" s="75"/>
      <c r="G5" s="78" t="str">
        <f>ZSCORE!B13</f>
        <v>NEUTRAL — Monitor for deterioration, limit credit exposure</v>
      </c>
      <c r="H5" s="75"/>
      <c r="I5" s="75"/>
      <c r="J5" s="75"/>
    </row>
    <row r="6" spans="1:10" ht="19.95" customHeight="1">
      <c r="A6" s="75"/>
      <c r="B6" s="75" t="str">
        <f>ZSCORE!B7</f>
        <v>GREY ZONE — Monitor closely</v>
      </c>
      <c r="C6" s="75"/>
      <c r="D6" s="79" t="s">
        <v>135</v>
      </c>
      <c r="E6" s="75"/>
      <c r="F6" s="75"/>
      <c r="G6" s="75"/>
      <c r="H6" s="75"/>
      <c r="I6" s="75"/>
      <c r="J6" s="75"/>
    </row>
    <row r="7" spans="1:10" ht="19.95" customHeight="1">
      <c r="A7" s="75"/>
      <c r="B7" s="80"/>
      <c r="C7" s="75"/>
      <c r="D7" s="75"/>
      <c r="E7" s="75"/>
      <c r="F7" s="91"/>
      <c r="G7" s="75"/>
      <c r="H7" s="75"/>
      <c r="I7" s="75"/>
      <c r="J7" s="75"/>
    </row>
    <row r="8" spans="1:10" ht="19.95" customHeight="1">
      <c r="A8" s="81" t="s">
        <v>130</v>
      </c>
      <c r="B8" s="82">
        <f>ZSCORE!B9</f>
        <v>6</v>
      </c>
      <c r="C8" s="75"/>
      <c r="D8" s="75" t="s">
        <v>148</v>
      </c>
      <c r="E8" s="92">
        <f>INPUTS!B6</f>
        <v>46082</v>
      </c>
      <c r="F8" s="75"/>
      <c r="G8" s="75" t="s">
        <v>39</v>
      </c>
      <c r="H8" s="83">
        <f ca="1">INPUTS!B4</f>
        <v>46181</v>
      </c>
      <c r="I8" s="75"/>
      <c r="J8" s="75"/>
    </row>
    <row r="10" spans="1:10" ht="19.95" customHeight="1">
      <c r="A10" s="84" t="s">
        <v>137</v>
      </c>
      <c r="F10" s="85" t="s">
        <v>144</v>
      </c>
    </row>
    <row r="11" spans="1:10" s="87" customFormat="1" ht="19.95" customHeight="1">
      <c r="A11" s="86" t="s">
        <v>138</v>
      </c>
      <c r="B11" s="86" t="s">
        <v>69</v>
      </c>
      <c r="C11" s="86" t="s">
        <v>71</v>
      </c>
      <c r="D11" s="86" t="s">
        <v>73</v>
      </c>
      <c r="F11" s="88" t="s">
        <v>101</v>
      </c>
      <c r="G11" s="74" t="s">
        <v>129</v>
      </c>
      <c r="H11" s="74" t="s">
        <v>86</v>
      </c>
    </row>
    <row r="12" spans="1:10" ht="19.95" customHeight="1">
      <c r="A12" s="89" t="s">
        <v>139</v>
      </c>
      <c r="B12">
        <f>ROUND(RATIOS!C7,2)</f>
        <v>0.34</v>
      </c>
      <c r="C12" s="89">
        <v>1.2</v>
      </c>
      <c r="D12" s="90" t="str">
        <f>RATIOS!G5</f>
        <v>DISTRESS — negative working capital</v>
      </c>
      <c r="F12" s="74" t="s">
        <v>145</v>
      </c>
      <c r="G12" s="74">
        <f>ROUND(STRESS_TEST!B11,2)</f>
        <v>2.08</v>
      </c>
      <c r="H12" s="74" t="str">
        <f>STRESS_TEST!B12</f>
        <v>GREY ZONE — Monitor closely</v>
      </c>
    </row>
    <row r="13" spans="1:10" ht="19.95" customHeight="1">
      <c r="A13" s="89" t="s">
        <v>140</v>
      </c>
      <c r="B13">
        <f>ROUND(RATIOS!C8,2)</f>
        <v>0</v>
      </c>
      <c r="C13" s="89">
        <v>1.4</v>
      </c>
      <c r="D13" s="90" t="str">
        <f>RATIOS!G7</f>
        <v>HEALTHY — strong retained profits</v>
      </c>
      <c r="F13" s="74" t="s">
        <v>146</v>
      </c>
      <c r="G13" s="74">
        <f>ROUND(STRESS_TEST!C11,2)</f>
        <v>1.96</v>
      </c>
      <c r="H13" s="74" t="str">
        <f>STRESS_TEST!C12</f>
        <v>GREY ZONE — Monitor closely</v>
      </c>
    </row>
    <row r="14" spans="1:10" ht="19.95" customHeight="1">
      <c r="A14" s="89" t="s">
        <v>141</v>
      </c>
      <c r="B14">
        <f>ROUND(RATIOS!C9,2)</f>
        <v>0.12</v>
      </c>
      <c r="C14" s="89">
        <v>3.3</v>
      </c>
      <c r="D14" s="90" t="str">
        <f>RATIOS!G9</f>
        <v>MODERATE — low ROA</v>
      </c>
      <c r="F14" s="74" t="s">
        <v>147</v>
      </c>
      <c r="G14" s="74">
        <f>ROUND(STRESS_TEST!D11,2)</f>
        <v>1.83</v>
      </c>
      <c r="H14" s="74" t="str">
        <f>STRESS_TEST!D12</f>
        <v>GREY ZONE — Monitor closely</v>
      </c>
    </row>
    <row r="15" spans="1:10" ht="19.95" customHeight="1">
      <c r="A15" s="89" t="s">
        <v>142</v>
      </c>
      <c r="B15">
        <f>ROUND(RATIOS!C10,2)</f>
        <v>0</v>
      </c>
      <c r="C15" s="89">
        <v>0.6</v>
      </c>
      <c r="D15" s="90" t="str">
        <f>RATIOS!G11</f>
        <v>DISTRESS — market doubts solvency</v>
      </c>
      <c r="G15" s="74">
        <f>ROUND(STRESS_TEST!B11,2)</f>
        <v>2.08</v>
      </c>
    </row>
    <row r="16" spans="1:10" ht="19.95" customHeight="1">
      <c r="A16" s="89" t="s">
        <v>143</v>
      </c>
      <c r="B16">
        <f>ROUND(RATIOS!C11,2)</f>
        <v>0.87</v>
      </c>
      <c r="C16" s="89">
        <v>1</v>
      </c>
      <c r="D16" s="90" t="str">
        <f>RATIOS!G13</f>
        <v>MODERATE — average efficiency</v>
      </c>
    </row>
    <row r="29" spans="2:10" ht="19.95" customHeight="1">
      <c r="B29" s="84" t="s">
        <v>149</v>
      </c>
    </row>
    <row r="30" spans="2:10" ht="19.95" customHeight="1">
      <c r="B30" s="94" t="s">
        <v>131</v>
      </c>
      <c r="C30" s="94"/>
      <c r="D30" s="94"/>
      <c r="E30" s="94"/>
      <c r="F30" s="94"/>
      <c r="G30" s="94"/>
      <c r="H30" s="94"/>
      <c r="I30" s="94"/>
      <c r="J30" s="94"/>
    </row>
    <row r="31" spans="2:10" ht="19.95" customHeight="1">
      <c r="B31" s="94"/>
      <c r="C31" s="94"/>
      <c r="D31" s="94"/>
      <c r="E31" s="94"/>
      <c r="F31" s="94"/>
      <c r="G31" s="94"/>
      <c r="H31" s="94"/>
      <c r="I31" s="94"/>
      <c r="J31" s="94"/>
    </row>
    <row r="32" spans="2:10" ht="19.95" customHeight="1">
      <c r="B32" s="94"/>
      <c r="C32" s="94"/>
      <c r="D32" s="94"/>
      <c r="E32" s="94"/>
      <c r="F32" s="94"/>
      <c r="G32" s="94"/>
      <c r="H32" s="94"/>
      <c r="I32" s="94"/>
      <c r="J32" s="94"/>
    </row>
    <row r="33" spans="2:10" ht="19.95" customHeight="1">
      <c r="B33" s="94"/>
      <c r="C33" s="94"/>
      <c r="D33" s="94"/>
      <c r="E33" s="94"/>
      <c r="F33" s="94"/>
      <c r="G33" s="94"/>
      <c r="H33" s="94"/>
      <c r="I33" s="94"/>
      <c r="J33" s="94"/>
    </row>
    <row r="35" spans="2:10" ht="19.95" customHeight="1">
      <c r="B35" s="95" t="s">
        <v>150</v>
      </c>
      <c r="C35" s="95"/>
      <c r="D35" s="95"/>
      <c r="E35" s="95"/>
      <c r="F35" s="95"/>
      <c r="G35" s="95"/>
      <c r="H35" s="95"/>
      <c r="I35" s="95"/>
      <c r="J35" s="95"/>
    </row>
    <row r="36" spans="2:10" ht="19.95" customHeight="1">
      <c r="B36" s="95"/>
      <c r="C36" s="95"/>
      <c r="D36" s="95"/>
      <c r="E36" s="95"/>
      <c r="F36" s="95"/>
      <c r="G36" s="95"/>
      <c r="H36" s="95"/>
      <c r="I36" s="95"/>
      <c r="J36" s="95"/>
    </row>
  </sheetData>
  <mergeCells count="3">
    <mergeCell ref="A1:I1"/>
    <mergeCell ref="B30:J33"/>
    <mergeCell ref="B35:J36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D6AD95B-5DE2-4657-AC3A-ABD782D81CAA}">
            <xm:f>NOT(ISERROR(SEARCH($H$12,H12)))</xm:f>
            <xm:f>$H$12</xm:f>
            <x14:dxf>
              <fill>
                <patternFill>
                  <bgColor rgb="FFFFCC66"/>
                </patternFill>
              </fill>
            </x14:dxf>
          </x14:cfRule>
          <xm:sqref>H12:H14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A4ED-C0E8-4B4C-A1EC-8B0AD4165B8F}">
  <dimension ref="A1:Q23"/>
  <sheetViews>
    <sheetView topLeftCell="B3" workbookViewId="0">
      <selection activeCell="F20" sqref="F20"/>
    </sheetView>
  </sheetViews>
  <sheetFormatPr defaultRowHeight="14.4"/>
  <cols>
    <col min="1" max="1" width="43.6640625" bestFit="1" customWidth="1"/>
    <col min="2" max="3" width="9.6640625" bestFit="1" customWidth="1"/>
    <col min="6" max="6" width="43.6640625" bestFit="1" customWidth="1"/>
    <col min="12" max="12" width="32.44140625" bestFit="1" customWidth="1"/>
    <col min="13" max="14" width="8.6640625" bestFit="1" customWidth="1"/>
    <col min="15" max="15" width="8.109375" bestFit="1" customWidth="1"/>
    <col min="16" max="16" width="10" bestFit="1" customWidth="1"/>
    <col min="17" max="17" width="10.44140625" bestFit="1" customWidth="1"/>
  </cols>
  <sheetData>
    <row r="1" spans="1:17" ht="22.8">
      <c r="A1" s="3" t="s">
        <v>0</v>
      </c>
      <c r="F1" s="3" t="s">
        <v>22</v>
      </c>
      <c r="K1" s="63"/>
      <c r="L1" s="64" t="s">
        <v>116</v>
      </c>
      <c r="M1" s="65" t="s">
        <v>111</v>
      </c>
      <c r="N1" s="65" t="s">
        <v>112</v>
      </c>
      <c r="O1" s="65" t="s">
        <v>113</v>
      </c>
      <c r="P1" s="65" t="s">
        <v>114</v>
      </c>
      <c r="Q1" s="65" t="s">
        <v>115</v>
      </c>
    </row>
    <row r="2" spans="1:17">
      <c r="A2" s="4" t="s">
        <v>1</v>
      </c>
      <c r="F2" s="4" t="s">
        <v>1</v>
      </c>
      <c r="K2" s="66">
        <v>1</v>
      </c>
      <c r="L2" s="64" t="s">
        <v>117</v>
      </c>
      <c r="M2" s="67">
        <v>81021</v>
      </c>
      <c r="N2" s="68">
        <v>120014</v>
      </c>
      <c r="O2" s="68">
        <v>45016</v>
      </c>
      <c r="P2" s="68">
        <v>22120</v>
      </c>
      <c r="Q2" s="68">
        <v>8215</v>
      </c>
    </row>
    <row r="3" spans="1:17">
      <c r="A3" s="5" t="s">
        <v>2</v>
      </c>
      <c r="F3" s="5" t="s">
        <v>23</v>
      </c>
      <c r="K3" s="66">
        <v>2</v>
      </c>
      <c r="L3" s="64" t="s">
        <v>118</v>
      </c>
      <c r="M3" s="69">
        <v>101965</v>
      </c>
      <c r="N3" s="68">
        <v>70313</v>
      </c>
      <c r="O3" s="68">
        <v>43613</v>
      </c>
      <c r="P3" s="68">
        <v>24253</v>
      </c>
      <c r="Q3" s="68">
        <v>10451</v>
      </c>
    </row>
    <row r="4" spans="1:17" ht="15" thickBot="1">
      <c r="A4" s="6"/>
      <c r="B4" s="7">
        <v>45717</v>
      </c>
      <c r="C4" s="7">
        <v>46082</v>
      </c>
      <c r="F4" s="6"/>
      <c r="G4" s="7">
        <v>45717</v>
      </c>
      <c r="H4" s="7">
        <v>46082</v>
      </c>
      <c r="K4" s="66">
        <v>3</v>
      </c>
      <c r="L4" s="64" t="s">
        <v>21</v>
      </c>
      <c r="M4" s="69">
        <v>296515</v>
      </c>
      <c r="N4" s="68">
        <v>269676</v>
      </c>
      <c r="O4" s="68">
        <v>135896</v>
      </c>
      <c r="P4" s="68">
        <v>97762</v>
      </c>
      <c r="Q4" s="68">
        <v>28237</v>
      </c>
    </row>
    <row r="5" spans="1:17">
      <c r="A5" s="2" t="s">
        <v>3</v>
      </c>
      <c r="B5" s="9">
        <v>1247</v>
      </c>
      <c r="C5" s="9">
        <v>1247</v>
      </c>
      <c r="F5" s="20" t="s">
        <v>35</v>
      </c>
      <c r="G5" s="21">
        <v>218543</v>
      </c>
      <c r="H5" s="21">
        <v>232140</v>
      </c>
      <c r="K5" s="66">
        <v>4</v>
      </c>
      <c r="L5" s="64" t="s">
        <v>119</v>
      </c>
      <c r="M5" s="69">
        <v>100920</v>
      </c>
      <c r="N5" s="68">
        <v>99748</v>
      </c>
      <c r="O5" s="68">
        <v>56225</v>
      </c>
      <c r="P5" s="68">
        <v>50797</v>
      </c>
      <c r="Q5" s="68">
        <v>10243</v>
      </c>
    </row>
    <row r="6" spans="1:17" ht="15" thickBot="1">
      <c r="A6" s="16" t="s">
        <v>4</v>
      </c>
      <c r="B6" s="17">
        <v>89922</v>
      </c>
      <c r="C6" s="17">
        <v>100920</v>
      </c>
      <c r="F6" s="1" t="s">
        <v>24</v>
      </c>
      <c r="G6" s="10">
        <v>193244</v>
      </c>
      <c r="H6" s="10">
        <v>197788</v>
      </c>
      <c r="K6" s="66">
        <v>5</v>
      </c>
      <c r="L6" s="64" t="s">
        <v>50</v>
      </c>
      <c r="M6" s="67">
        <v>34352</v>
      </c>
      <c r="N6" s="68">
        <v>29346</v>
      </c>
      <c r="O6" s="68">
        <v>12000</v>
      </c>
      <c r="P6" s="68">
        <v>9644</v>
      </c>
      <c r="Q6" s="68">
        <v>1518</v>
      </c>
    </row>
    <row r="7" spans="1:17" ht="15" thickBot="1">
      <c r="A7" s="2" t="s">
        <v>5</v>
      </c>
      <c r="B7" s="9">
        <v>94801</v>
      </c>
      <c r="C7" s="9">
        <v>92382</v>
      </c>
      <c r="F7" s="14" t="s">
        <v>25</v>
      </c>
      <c r="G7" s="15">
        <v>25298</v>
      </c>
      <c r="H7" s="15">
        <v>34352</v>
      </c>
      <c r="K7" s="66">
        <v>6</v>
      </c>
      <c r="L7" s="64" t="s">
        <v>49</v>
      </c>
      <c r="M7" s="67">
        <v>232140</v>
      </c>
      <c r="N7" s="68">
        <v>185470</v>
      </c>
      <c r="O7" s="68">
        <v>110811</v>
      </c>
      <c r="P7" s="68">
        <v>53225</v>
      </c>
      <c r="Q7" s="68">
        <v>13642</v>
      </c>
    </row>
    <row r="8" spans="1:17">
      <c r="A8" s="11" t="s">
        <v>6</v>
      </c>
      <c r="B8" s="12">
        <v>89488</v>
      </c>
      <c r="C8" s="12">
        <v>101965</v>
      </c>
      <c r="F8" s="1" t="s">
        <v>26</v>
      </c>
      <c r="G8" s="18">
        <v>0.12</v>
      </c>
      <c r="H8" s="18">
        <v>0.15</v>
      </c>
      <c r="K8" s="66">
        <v>7</v>
      </c>
      <c r="L8" s="64" t="s">
        <v>52</v>
      </c>
      <c r="M8" s="70">
        <v>258146</v>
      </c>
      <c r="N8" s="71" t="s">
        <v>120</v>
      </c>
      <c r="O8" s="71" t="s">
        <v>121</v>
      </c>
      <c r="P8" s="71" t="s">
        <v>122</v>
      </c>
      <c r="Q8" s="71" t="s">
        <v>123</v>
      </c>
    </row>
    <row r="9" spans="1:17">
      <c r="A9" s="1" t="s">
        <v>7</v>
      </c>
      <c r="B9" s="13">
        <v>183</v>
      </c>
      <c r="C9" s="10">
        <v>1613</v>
      </c>
      <c r="F9" s="2" t="s">
        <v>27</v>
      </c>
      <c r="G9" s="8">
        <v>877</v>
      </c>
      <c r="H9" s="8">
        <v>738</v>
      </c>
      <c r="K9" s="66">
        <v>8</v>
      </c>
      <c r="L9" s="64" t="s">
        <v>11</v>
      </c>
      <c r="M9" s="69">
        <v>296515</v>
      </c>
      <c r="N9" s="68">
        <v>269676</v>
      </c>
      <c r="O9" s="68">
        <v>135896</v>
      </c>
      <c r="P9" s="68">
        <v>97762</v>
      </c>
      <c r="Q9" s="68">
        <v>28237</v>
      </c>
    </row>
    <row r="10" spans="1:17">
      <c r="A10" s="1" t="s">
        <v>8</v>
      </c>
      <c r="B10" s="10">
        <v>29314</v>
      </c>
      <c r="C10" s="10">
        <v>34810</v>
      </c>
      <c r="F10" s="1" t="s">
        <v>28</v>
      </c>
      <c r="G10" s="10">
        <v>7341</v>
      </c>
      <c r="H10" s="10">
        <v>7167</v>
      </c>
    </row>
    <row r="11" spans="1:17" ht="15" thickBot="1">
      <c r="A11" s="1" t="s">
        <v>9</v>
      </c>
      <c r="B11" s="10">
        <v>1655</v>
      </c>
      <c r="C11" s="13"/>
      <c r="F11" s="2" t="s">
        <v>29</v>
      </c>
      <c r="G11" s="9">
        <v>10421</v>
      </c>
      <c r="H11" s="9">
        <v>11955</v>
      </c>
    </row>
    <row r="12" spans="1:17" ht="15" thickBot="1">
      <c r="A12" s="1" t="s">
        <v>10</v>
      </c>
      <c r="B12" s="10">
        <v>58335</v>
      </c>
      <c r="C12" s="10">
        <v>70282</v>
      </c>
      <c r="F12" s="11" t="s">
        <v>30</v>
      </c>
      <c r="G12" s="12">
        <v>8413</v>
      </c>
      <c r="H12" s="12">
        <v>15969</v>
      </c>
    </row>
    <row r="13" spans="1:17" ht="15" thickBot="1">
      <c r="A13" s="14" t="s">
        <v>11</v>
      </c>
      <c r="B13" s="15">
        <v>275459</v>
      </c>
      <c r="C13" s="15">
        <v>296515</v>
      </c>
      <c r="F13" s="2" t="s">
        <v>31</v>
      </c>
      <c r="G13" s="19">
        <v>0.62</v>
      </c>
      <c r="H13" s="19">
        <v>0.32</v>
      </c>
    </row>
    <row r="14" spans="1:17">
      <c r="A14" s="1" t="s">
        <v>12</v>
      </c>
      <c r="B14" s="10">
        <v>150914</v>
      </c>
      <c r="C14" s="10">
        <v>179908</v>
      </c>
      <c r="F14" s="11" t="s">
        <v>32</v>
      </c>
      <c r="G14" s="12">
        <v>3174</v>
      </c>
      <c r="H14" s="12">
        <v>10886</v>
      </c>
    </row>
    <row r="15" spans="1:17">
      <c r="A15" s="2" t="s">
        <v>13</v>
      </c>
      <c r="B15" s="9">
        <v>41622</v>
      </c>
      <c r="C15" s="9">
        <v>28497</v>
      </c>
      <c r="F15" s="2" t="s">
        <v>33</v>
      </c>
      <c r="G15" s="8">
        <v>2.74</v>
      </c>
      <c r="H15" s="8">
        <v>8.65</v>
      </c>
    </row>
    <row r="16" spans="1:17" ht="15" thickBot="1">
      <c r="A16" s="1" t="s">
        <v>14</v>
      </c>
      <c r="B16" s="10">
        <v>6194</v>
      </c>
      <c r="C16" s="10">
        <v>7089</v>
      </c>
      <c r="F16" s="1" t="s">
        <v>34</v>
      </c>
      <c r="G16" s="18">
        <v>1.31</v>
      </c>
      <c r="H16" s="18">
        <v>0.46</v>
      </c>
    </row>
    <row r="17" spans="1:6">
      <c r="A17" s="14" t="s">
        <v>15</v>
      </c>
      <c r="B17" s="15">
        <v>76728</v>
      </c>
      <c r="C17" s="15">
        <v>81021</v>
      </c>
    </row>
    <row r="18" spans="1:6">
      <c r="A18" s="2" t="s">
        <v>16</v>
      </c>
      <c r="B18" s="9">
        <v>44590</v>
      </c>
      <c r="C18" s="9">
        <v>47249</v>
      </c>
    </row>
    <row r="19" spans="1:6">
      <c r="A19" s="2" t="s">
        <v>17</v>
      </c>
      <c r="B19" s="9">
        <v>5260</v>
      </c>
      <c r="C19" s="9">
        <v>4917</v>
      </c>
    </row>
    <row r="20" spans="1:6">
      <c r="A20" s="2" t="s">
        <v>18</v>
      </c>
      <c r="B20" s="9">
        <v>11647</v>
      </c>
      <c r="C20" s="9">
        <v>10058</v>
      </c>
      <c r="F20" s="72"/>
    </row>
    <row r="21" spans="1:6">
      <c r="A21" s="2" t="s">
        <v>19</v>
      </c>
      <c r="B21" s="8">
        <v>-146</v>
      </c>
      <c r="C21" s="9">
        <v>1662</v>
      </c>
    </row>
    <row r="22" spans="1:6" ht="15" thickBot="1">
      <c r="A22" s="2" t="s">
        <v>20</v>
      </c>
      <c r="B22" s="9">
        <v>15377</v>
      </c>
      <c r="C22" s="9">
        <v>21875</v>
      </c>
    </row>
    <row r="23" spans="1:6">
      <c r="A23" s="11" t="s">
        <v>21</v>
      </c>
      <c r="B23" s="12">
        <v>275459</v>
      </c>
      <c r="C23" s="12">
        <v>296515</v>
      </c>
    </row>
  </sheetData>
  <conditionalFormatting sqref="M2:M9">
    <cfRule type="containsBlanks" dxfId="0" priority="1">
      <formula>LEN(TRIM(M2))=0</formula>
    </cfRule>
  </conditionalFormatting>
  <hyperlinks>
    <hyperlink ref="A2" r:id="rId1" location="balance-sheet" display="https://www.screener.in/company/TATASTEEL/ - balance-sheet" xr:uid="{E1764957-89AD-4E15-B3BB-0D8183DAA2F1}"/>
    <hyperlink ref="F2" r:id="rId2" location="profit-loss" display="https://www.screener.in/company/TATASTEEL/ - profit-loss" xr:uid="{A35620CD-2126-4FBB-AF0A-EFFC4BF2CA0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LAAyAF0ALAAiAGQAZQBjAGkAbQBhAGwAUwBlAHAAYQByAGEAdABvAHIAIgA6ACIALgAiACwAIgBkAGEAdABlAE8AcgBkAGUAcgAiADoAIgBEAE0AWQAiACwAIgBjAHUAcgByAGUAbgBjAHkAUwB5AG0AYgBvAGwAIgA6ACIAuSAiACwAIgBpAHMAQwB1AHIAcgBlAG4AYwB5AFMAeQBtAGIAbwBsAEwAZQBhAGQAIgA6AHQAcgB1AGUALAAiAGkAcwBDAHUAcgByAGUAbgBjAHkAUwBlAHAAQgB5AFMAcABhAGMAZQAiADoAdAByAHU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A364DECE-9818-4D7A-B3EE-CEC445AAA21F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</vt:lpstr>
      <vt:lpstr>INPUTS</vt:lpstr>
      <vt:lpstr>RATIOS</vt:lpstr>
      <vt:lpstr>ZSCORE</vt:lpstr>
      <vt:lpstr>STRESS_TEST</vt:lpstr>
      <vt:lpstr>PEER_COMP</vt:lpstr>
      <vt:lpstr>DASHBOARD</vt:lpstr>
      <vt:lpstr>Sheet8</vt:lpstr>
      <vt:lpstr>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Helan Preethi</dc:creator>
  <cp:lastModifiedBy>Helan Preethi</cp:lastModifiedBy>
  <dcterms:created xsi:type="dcterms:W3CDTF">2026-06-05T13:27:12Z</dcterms:created>
  <dcterms:modified xsi:type="dcterms:W3CDTF">2026-06-08T02:10:02Z</dcterms:modified>
</cp:coreProperties>
</file>